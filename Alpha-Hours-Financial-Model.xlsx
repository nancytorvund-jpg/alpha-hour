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ampuses" sheetId="2" state="visible" r:id="rId2"/>
    <sheet xmlns:r="http://schemas.openxmlformats.org/officeDocument/2006/relationships" name="Year 1" sheetId="3" state="visible" r:id="rId3"/>
    <sheet xmlns:r="http://schemas.openxmlformats.org/officeDocument/2006/relationships" name="100-seat campus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Lanes" sheetId="6" state="visible" r:id="rId6"/>
    <sheet xmlns:r="http://schemas.openxmlformats.org/officeDocument/2006/relationships" name="National" sheetId="7" state="visible" r:id="rId7"/>
    <sheet xmlns:r="http://schemas.openxmlformats.org/officeDocument/2006/relationships" name="Launch budge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12100C"/>
      <sz val="16"/>
    </font>
    <font>
      <i val="1"/>
      <color rgb="006B6459"/>
    </font>
    <font>
      <b val="1"/>
      <color rgb="0012100C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4DA"/>
      </patternFill>
    </fill>
    <fill>
      <patternFill patternType="solid">
        <fgColor rgb="001210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0" pivotButton="0" quotePrefix="0" xfId="0"/>
    <xf numFmtId="3" fontId="0" fillId="2" borderId="0" pivotButton="0" quotePrefix="0" xfId="0"/>
    <xf numFmtId="9" fontId="0" fillId="2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4" fillId="3" borderId="0" applyAlignment="1" pivotButton="0" quotePrefix="0" xfId="0">
      <alignment vertical="center" wrapText="1"/>
    </xf>
    <xf numFmtId="0" fontId="0" fillId="2" borderId="0" pivotButton="0" quotePrefix="0" xfId="0"/>
    <xf numFmtId="9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9" fontId="5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18" customWidth="1" min="2" max="2"/>
  </cols>
  <sheetData>
    <row r="1">
      <c r="A1" s="1" t="inlineStr">
        <is>
          <t>Alpha Hours financial model: assumptions</t>
        </is>
      </c>
    </row>
    <row r="2">
      <c r="A2" s="2" t="inlineStr">
        <is>
          <t>Yellow cells are inputs. Every other tab is formulas off this one. Session-based plan, August 27, 2026.</t>
        </is>
      </c>
    </row>
    <row r="4">
      <c r="A4" s="3" t="inlineStr">
        <is>
          <t>PRICING</t>
        </is>
      </c>
    </row>
    <row r="5">
      <c r="A5" t="inlineStr">
        <is>
          <t>Price per session, premium markets</t>
        </is>
      </c>
      <c r="B5" s="4" t="n">
        <v>4500</v>
      </c>
    </row>
    <row r="6">
      <c r="A6" t="inlineStr">
        <is>
          <t>Price per session, standard markets</t>
        </is>
      </c>
      <c r="B6" s="4" t="n">
        <v>3500</v>
      </c>
    </row>
    <row r="7">
      <c r="A7" t="inlineStr">
        <is>
          <t>Sessions per year</t>
        </is>
      </c>
      <c r="B7" s="5" t="n">
        <v>5</v>
      </c>
    </row>
    <row r="8">
      <c r="A8" t="inlineStr">
        <is>
          <t>Cohorts per seat (enrolled = seats x this)</t>
        </is>
      </c>
      <c r="B8" s="5" t="n">
        <v>4</v>
      </c>
    </row>
    <row r="9">
      <c r="A9" t="inlineStr">
        <is>
          <t>Current Alpha family discount</t>
        </is>
      </c>
      <c r="B9" s="6" t="n">
        <v>0.05</v>
      </c>
    </row>
    <row r="10">
      <c r="A10" t="inlineStr">
        <is>
          <t>Continuation rate from sixth session, premium</t>
        </is>
      </c>
      <c r="B10" s="4" t="n">
        <v>5000</v>
      </c>
    </row>
    <row r="11">
      <c r="A11" t="inlineStr">
        <is>
          <t>Deposit at sign-up</t>
        </is>
      </c>
      <c r="B11" s="4" t="n">
        <v>500</v>
      </c>
    </row>
    <row r="12">
      <c r="A12" t="inlineStr">
        <is>
          <t>Break week price</t>
        </is>
      </c>
      <c r="B12" s="4" t="n">
        <v>4500</v>
      </c>
    </row>
    <row r="13">
      <c r="A13" s="3" t="inlineStr">
        <is>
          <t>VARIABLE COST PER CHILD PER SESSION</t>
        </is>
      </c>
    </row>
    <row r="14">
      <c r="A14" t="inlineStr">
        <is>
          <t>Timeback license</t>
        </is>
      </c>
      <c r="B14" s="4" t="n">
        <v>150</v>
      </c>
    </row>
    <row r="15">
      <c r="A15" t="inlineStr">
        <is>
          <t>Extrinsic motivation model (Alpha bucks, Emporium at cost)</t>
        </is>
      </c>
      <c r="B15" s="4" t="n">
        <v>40</v>
      </c>
    </row>
    <row r="16">
      <c r="A16" t="inlineStr">
        <is>
          <t>Supplies</t>
        </is>
      </c>
      <c r="B16" s="4" t="n">
        <v>15</v>
      </c>
    </row>
    <row r="17">
      <c r="A17" t="inlineStr">
        <is>
          <t>Snacks (about $2 a weekday block x14, $4 a Saturday block x7)</t>
        </is>
      </c>
      <c r="B17" s="4" t="n">
        <v>30</v>
      </c>
    </row>
    <row r="18">
      <c r="A18" t="inlineStr">
        <is>
          <t>AlphaTest Showcase, per child (printed mastery map, certificate)</t>
        </is>
      </c>
      <c r="B18" s="4" t="n">
        <v>5</v>
      </c>
    </row>
    <row r="19">
      <c r="A19" t="inlineStr">
        <is>
          <t>Payment processing rate</t>
        </is>
      </c>
      <c r="B19" s="6" t="n">
        <v>0.03</v>
      </c>
    </row>
    <row r="20">
      <c r="A20" t="inlineStr">
        <is>
          <t>Local marketing</t>
        </is>
      </c>
      <c r="B20" s="4" t="n">
        <v>60</v>
      </c>
    </row>
    <row r="21">
      <c r="A21" t="inlineStr">
        <is>
          <t>Variable cost per child per session</t>
        </is>
      </c>
      <c r="B21" s="7">
        <f>B11+B12+B13+B14+B15+B16*B2+B17</f>
        <v/>
      </c>
    </row>
    <row r="22">
      <c r="A22" t="inlineStr">
        <is>
          <t>Variable cost per child per year</t>
        </is>
      </c>
      <c r="B22" s="7">
        <f>B18*B4</f>
        <v/>
      </c>
    </row>
    <row r="23">
      <c r="A23" s="3" t="inlineStr">
        <is>
          <t>GUIDES</t>
        </is>
      </c>
    </row>
    <row r="24">
      <c r="A24" t="inlineStr">
        <is>
          <t>Guide salary, part-time, per year</t>
        </is>
      </c>
      <c r="B24" s="4" t="n">
        <v>50000</v>
      </c>
    </row>
    <row r="25">
      <c r="A25" t="inlineStr">
        <is>
          <t>Students per guide (ratio 1:10)</t>
        </is>
      </c>
      <c r="B25" s="5" t="n">
        <v>10</v>
      </c>
    </row>
    <row r="26">
      <c r="A26" t="inlineStr">
        <is>
          <t>Guide cost per enrolled child per year at even fill</t>
        </is>
      </c>
      <c r="B26" s="7">
        <f>B21/(B22*B5)</f>
        <v/>
      </c>
    </row>
    <row r="27">
      <c r="A27" s="3" t="inlineStr">
        <is>
          <t>FIXED COST PER CAMPUS PER YEAR</t>
        </is>
      </c>
    </row>
    <row r="28">
      <c r="A28" t="inlineStr">
        <is>
          <t>Lead Guide</t>
        </is>
      </c>
      <c r="B28" s="4" t="n">
        <v>75000</v>
      </c>
    </row>
    <row r="29">
      <c r="A29" t="inlineStr">
        <is>
          <t>Campus Coordinator (50 percent role)</t>
        </is>
      </c>
      <c r="B29" s="4" t="n">
        <v>50000</v>
      </c>
    </row>
    <row r="30">
      <c r="A30" t="inlineStr">
        <is>
          <t>Facility (custodial, HVAC, security after hours)</t>
        </is>
      </c>
      <c r="B30" s="4" t="n">
        <v>45000</v>
      </c>
    </row>
    <row r="31">
      <c r="A31" t="inlineStr">
        <is>
          <t>Insurance</t>
        </is>
      </c>
      <c r="B31" s="4" t="n">
        <v>8000</v>
      </c>
    </row>
    <row r="32">
      <c r="A32" t="inlineStr">
        <is>
          <t>AlphaTest Showcase events, per campus per session</t>
        </is>
      </c>
      <c r="B32" s="4" t="n">
        <v>2000</v>
      </c>
    </row>
    <row r="33">
      <c r="A33" t="inlineStr">
        <is>
          <t>Fixed cost per campus per year</t>
        </is>
      </c>
      <c r="B33" s="7">
        <f>B25+B26+B27+B28+B29*B4</f>
        <v/>
      </c>
    </row>
    <row r="34">
      <c r="A34" t="inlineStr">
        <is>
          <t>Minimum operating cost (fixed plus two guides)</t>
        </is>
      </c>
      <c r="B34" s="7">
        <f>B30+2*B21</f>
        <v/>
      </c>
    </row>
    <row r="35">
      <c r="A35" t="inlineStr">
        <is>
          <t>Contribution per child per year before guides</t>
        </is>
      </c>
      <c r="B35" s="7">
        <f>(B2-B18)*B4</f>
        <v/>
      </c>
    </row>
    <row r="36">
      <c r="A36" t="inlineStr">
        <is>
          <t>Break-even students per campus</t>
        </is>
      </c>
      <c r="B36" s="8">
        <f>ROUNDUP(B31/B32,0)</f>
        <v/>
      </c>
    </row>
    <row r="37">
      <c r="A37" s="3" t="inlineStr">
        <is>
          <t>CENTRAL</t>
        </is>
      </c>
    </row>
    <row r="38">
      <c r="A38" t="inlineStr">
        <is>
          <t>Central team, fully loaded, Year 1</t>
        </is>
      </c>
      <c r="B38" s="4" t="n">
        <v>875000</v>
      </c>
    </row>
    <row r="39">
      <c r="A39" t="inlineStr">
        <is>
          <t>Central team at full network</t>
        </is>
      </c>
      <c r="B39" s="4" t="n">
        <v>4000000</v>
      </c>
    </row>
    <row r="40">
      <c r="A40" s="3" t="inlineStr">
        <is>
          <t>PLAN FILL BY SESSION</t>
        </is>
      </c>
    </row>
    <row r="41">
      <c r="A41" t="inlineStr">
        <is>
          <t>Session 2 (Oct 19 to Dec 18, 2026)</t>
        </is>
      </c>
      <c r="B41" s="6" t="n">
        <v>0.6</v>
      </c>
    </row>
    <row r="42">
      <c r="A42" t="inlineStr">
        <is>
          <t>Session 3 (Jan 4 to Feb 19, 2027)</t>
        </is>
      </c>
      <c r="B42" s="6" t="n">
        <v>0.75</v>
      </c>
    </row>
    <row r="43">
      <c r="A43" t="inlineStr">
        <is>
          <t>Session 4 (Feb 24 to Apr 16, 2027)</t>
        </is>
      </c>
      <c r="B43" s="6" t="n">
        <v>0.9</v>
      </c>
    </row>
    <row r="44">
      <c r="A44" t="inlineStr">
        <is>
          <t>Session 5 (Apr 26 to Jun 18, 2027)</t>
        </is>
      </c>
      <c r="B44" s="6" t="n">
        <v>1</v>
      </c>
    </row>
    <row r="45">
      <c r="A45" t="inlineStr">
        <is>
          <t>Floor case fill, every session</t>
        </is>
      </c>
      <c r="B45" s="6" t="n">
        <v>0.25</v>
      </c>
    </row>
    <row r="46">
      <c r="A46" s="3" t="inlineStr">
        <is>
          <t>LANE MIX</t>
        </is>
      </c>
    </row>
    <row r="47">
      <c r="A47" t="inlineStr">
        <is>
          <t>Stay (never enrolling)</t>
        </is>
      </c>
      <c r="B47" s="6" t="n">
        <v>0.7</v>
      </c>
    </row>
    <row r="48">
      <c r="A48" t="inlineStr">
        <is>
          <t>Considering</t>
        </is>
      </c>
      <c r="B48" s="6" t="n">
        <v>0.15</v>
      </c>
    </row>
    <row r="49">
      <c r="A49" t="inlineStr">
        <is>
          <t>Path to yes</t>
        </is>
      </c>
      <c r="B49" s="6" t="n">
        <v>0.05</v>
      </c>
    </row>
    <row r="50">
      <c r="A50" t="inlineStr">
        <is>
          <t>Current Alpha families</t>
        </is>
      </c>
      <c r="B50" s="6" t="n">
        <v>0.1</v>
      </c>
    </row>
    <row r="51">
      <c r="A51" t="inlineStr">
        <is>
          <t>Lifetime tuition per conversion, midpoint</t>
        </is>
      </c>
      <c r="B51" s="4" t="n">
        <v>240000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8" customWidth="1" min="2" max="2"/>
    <col width="14" customWidth="1" min="3" max="3"/>
    <col width="10" customWidth="1" min="4" max="4"/>
    <col width="15" customWidth="1" min="5" max="5"/>
    <col width="14" customWidth="1" min="6" max="6"/>
    <col width="8" customWidth="1" min="7" max="7"/>
    <col width="13" customWidth="1" min="8" max="8"/>
    <col width="12" customWidth="1" min="9" max="9"/>
    <col width="14" customWidth="1" min="10" max="10"/>
    <col width="9" customWidth="1" min="11" max="11"/>
  </cols>
  <sheetData>
    <row r="1">
      <c r="A1" s="1" t="inlineStr">
        <is>
          <t>Pilot campuses at capacity</t>
        </is>
      </c>
    </row>
    <row r="2">
      <c r="A2" s="2" t="inlineStr">
        <is>
          <t>Enrolled = seats x cohorts. Guides = seats / 10, rounded up. William Street shares New York's coordinator.</t>
        </is>
      </c>
    </row>
    <row r="4">
      <c r="A4" s="9" t="inlineStr">
        <is>
          <t>Campus</t>
        </is>
      </c>
      <c r="B4" s="9" t="inlineStr">
        <is>
          <t>Seats</t>
        </is>
      </c>
      <c r="C4" s="9" t="inlineStr">
        <is>
          <t>Shares coordinator (1 = yes)</t>
        </is>
      </c>
      <c r="D4" s="9" t="inlineStr">
        <is>
          <t>Enrolled</t>
        </is>
      </c>
      <c r="E4" s="9" t="inlineStr">
        <is>
          <t>Revenue / year</t>
        </is>
      </c>
      <c r="F4" s="9" t="inlineStr">
        <is>
          <t>Variable cost</t>
        </is>
      </c>
      <c r="G4" s="9" t="inlineStr">
        <is>
          <t>Guides</t>
        </is>
      </c>
      <c r="H4" s="9" t="inlineStr">
        <is>
          <t>Guide cost</t>
        </is>
      </c>
      <c r="I4" s="9" t="inlineStr">
        <is>
          <t>Fixed cost</t>
        </is>
      </c>
      <c r="J4" s="9" t="inlineStr">
        <is>
          <t>Site profit</t>
        </is>
      </c>
      <c r="K4" s="9" t="inlineStr">
        <is>
          <t>Margin</t>
        </is>
      </c>
    </row>
    <row r="5">
      <c r="A5" t="inlineStr">
        <is>
          <t>New York, 180 Maiden Lane</t>
        </is>
      </c>
      <c r="B5" s="10" t="n">
        <v>100</v>
      </c>
      <c r="C5" s="10" t="n">
        <v>0</v>
      </c>
      <c r="D5" s="8">
        <f>B5*Assumptions!$B$8</f>
        <v/>
      </c>
      <c r="E5" s="7">
        <f>D5*Assumptions!$B$5*Assumptions!$B$7</f>
        <v/>
      </c>
      <c r="F5" s="7">
        <f>D5*Assumptions!$B$22</f>
        <v/>
      </c>
      <c r="G5" s="8">
        <f>ROUNDUP(B5/Assumptions!$B$25,0)</f>
        <v/>
      </c>
      <c r="H5" s="7">
        <f>G5*Assumptions!$B$24</f>
        <v/>
      </c>
      <c r="I5" s="7">
        <f>Assumptions!$B$33-C5*Assumptions!$B$29</f>
        <v/>
      </c>
      <c r="J5" s="7">
        <f>E5-F5-H5-I5</f>
        <v/>
      </c>
      <c r="K5" s="11">
        <f>J5/E5</f>
        <v/>
      </c>
    </row>
    <row r="6">
      <c r="A6" t="inlineStr">
        <is>
          <t>New York, 156 William Street</t>
        </is>
      </c>
      <c r="B6" s="10" t="n">
        <v>30</v>
      </c>
      <c r="C6" s="10" t="n">
        <v>1</v>
      </c>
      <c r="D6" s="8">
        <f>B6*Assumptions!$B$8</f>
        <v/>
      </c>
      <c r="E6" s="7">
        <f>D6*Assumptions!$B$5*Assumptions!$B$7</f>
        <v/>
      </c>
      <c r="F6" s="7">
        <f>D6*Assumptions!$B$22</f>
        <v/>
      </c>
      <c r="G6" s="8">
        <f>ROUNDUP(B6/Assumptions!$B$25,0)</f>
        <v/>
      </c>
      <c r="H6" s="7">
        <f>G6*Assumptions!$B$24</f>
        <v/>
      </c>
      <c r="I6" s="7">
        <f>Assumptions!$B$33-C6*Assumptions!$B$29</f>
        <v/>
      </c>
      <c r="J6" s="7">
        <f>E6-F6-H6-I6</f>
        <v/>
      </c>
      <c r="K6" s="11">
        <f>J6/E6</f>
        <v/>
      </c>
    </row>
    <row r="7">
      <c r="A7" t="inlineStr">
        <is>
          <t>Greenwich (Armonk)</t>
        </is>
      </c>
      <c r="B7" s="10" t="n">
        <v>80</v>
      </c>
      <c r="C7" s="10" t="n">
        <v>0</v>
      </c>
      <c r="D7" s="8">
        <f>B7*Assumptions!$B$8</f>
        <v/>
      </c>
      <c r="E7" s="7">
        <f>D7*Assumptions!$B$5*Assumptions!$B$7</f>
        <v/>
      </c>
      <c r="F7" s="7">
        <f>D7*Assumptions!$B$22</f>
        <v/>
      </c>
      <c r="G7" s="8">
        <f>ROUNDUP(B7/Assumptions!$B$25,0)</f>
        <v/>
      </c>
      <c r="H7" s="7">
        <f>G7*Assumptions!$B$24</f>
        <v/>
      </c>
      <c r="I7" s="7">
        <f>Assumptions!$B$33-C7*Assumptions!$B$29</f>
        <v/>
      </c>
      <c r="J7" s="7">
        <f>E7-F7-H7-I7</f>
        <v/>
      </c>
      <c r="K7" s="11">
        <f>J7/E7</f>
        <v/>
      </c>
    </row>
    <row r="8">
      <c r="A8" t="inlineStr">
        <is>
          <t>Boston A</t>
        </is>
      </c>
      <c r="B8" s="10" t="n">
        <v>40</v>
      </c>
      <c r="C8" s="10" t="n">
        <v>0</v>
      </c>
      <c r="D8" s="8">
        <f>B8*Assumptions!$B$8</f>
        <v/>
      </c>
      <c r="E8" s="7">
        <f>D8*Assumptions!$B$5*Assumptions!$B$7</f>
        <v/>
      </c>
      <c r="F8" s="7">
        <f>D8*Assumptions!$B$22</f>
        <v/>
      </c>
      <c r="G8" s="8">
        <f>ROUNDUP(B8/Assumptions!$B$25,0)</f>
        <v/>
      </c>
      <c r="H8" s="7">
        <f>G8*Assumptions!$B$24</f>
        <v/>
      </c>
      <c r="I8" s="7">
        <f>Assumptions!$B$33-C8*Assumptions!$B$29</f>
        <v/>
      </c>
      <c r="J8" s="7">
        <f>E8-F8-H8-I8</f>
        <v/>
      </c>
      <c r="K8" s="11">
        <f>J8/E8</f>
        <v/>
      </c>
    </row>
    <row r="9">
      <c r="A9" t="inlineStr">
        <is>
          <t>Boston B</t>
        </is>
      </c>
      <c r="B9" s="10" t="n">
        <v>100</v>
      </c>
      <c r="C9" s="10" t="n">
        <v>0</v>
      </c>
      <c r="D9" s="8">
        <f>B9*Assumptions!$B$8</f>
        <v/>
      </c>
      <c r="E9" s="7">
        <f>D9*Assumptions!$B$5*Assumptions!$B$7</f>
        <v/>
      </c>
      <c r="F9" s="7">
        <f>D9*Assumptions!$B$22</f>
        <v/>
      </c>
      <c r="G9" s="8">
        <f>ROUNDUP(B9/Assumptions!$B$25,0)</f>
        <v/>
      </c>
      <c r="H9" s="7">
        <f>G9*Assumptions!$B$24</f>
        <v/>
      </c>
      <c r="I9" s="7">
        <f>Assumptions!$B$33-C9*Assumptions!$B$29</f>
        <v/>
      </c>
      <c r="J9" s="7">
        <f>E9-F9-H9-I9</f>
        <v/>
      </c>
      <c r="K9" s="11">
        <f>J9/E9</f>
        <v/>
      </c>
    </row>
    <row r="10">
      <c r="A10" t="inlineStr">
        <is>
          <t>Chicago, at launch (94 seats)</t>
        </is>
      </c>
      <c r="B10" s="10" t="n">
        <v>94</v>
      </c>
      <c r="C10" s="10" t="n">
        <v>0</v>
      </c>
      <c r="D10" s="8">
        <f>B10*Assumptions!$B$8</f>
        <v/>
      </c>
      <c r="E10" s="7">
        <f>D10*Assumptions!$B$5*Assumptions!$B$7</f>
        <v/>
      </c>
      <c r="F10" s="7">
        <f>D10*Assumptions!$B$22</f>
        <v/>
      </c>
      <c r="G10" s="8">
        <f>ROUNDUP(B10/Assumptions!$B$25,0)</f>
        <v/>
      </c>
      <c r="H10" s="7">
        <f>G10*Assumptions!$B$24</f>
        <v/>
      </c>
      <c r="I10" s="7">
        <f>Assumptions!$B$33-C10*Assumptions!$B$29</f>
        <v/>
      </c>
      <c r="J10" s="7">
        <f>E10-F10-H10-I10</f>
        <v/>
      </c>
      <c r="K10" s="11">
        <f>J10/E10</f>
        <v/>
      </c>
    </row>
    <row r="11">
      <c r="A11" t="inlineStr">
        <is>
          <t>Chicago, from January 2027 (517 seats)</t>
        </is>
      </c>
      <c r="B11" s="10" t="n">
        <v>517</v>
      </c>
      <c r="C11" s="10" t="n">
        <v>0</v>
      </c>
      <c r="D11" s="8">
        <f>B11*Assumptions!$B$8</f>
        <v/>
      </c>
      <c r="E11" s="7">
        <f>D11*Assumptions!$B$5*Assumptions!$B$7</f>
        <v/>
      </c>
      <c r="F11" s="7">
        <f>D11*Assumptions!$B$22</f>
        <v/>
      </c>
      <c r="G11" s="8">
        <f>ROUNDUP(B11/Assumptions!$B$25,0)</f>
        <v/>
      </c>
      <c r="H11" s="7">
        <f>G11*Assumptions!$B$24</f>
        <v/>
      </c>
      <c r="I11" s="7">
        <f>Assumptions!$B$33-C11*Assumptions!$B$29</f>
        <v/>
      </c>
      <c r="J11" s="7">
        <f>E11-F11-H11-I11</f>
        <v/>
      </c>
      <c r="K11" s="11">
        <f>J11/E11</f>
        <v/>
      </c>
    </row>
    <row r="12">
      <c r="D12" s="8" t="n"/>
      <c r="E12" s="7" t="n"/>
      <c r="F12" s="7" t="n"/>
      <c r="G12" s="8" t="n"/>
      <c r="H12" s="7" t="n"/>
      <c r="I12" s="7" t="n"/>
      <c r="J12" s="7" t="n"/>
      <c r="K12" s="11" t="n"/>
    </row>
    <row r="13">
      <c r="A13" s="12" t="inlineStr">
        <is>
          <t>Launch total, Session 2 (Chicago at 94)</t>
        </is>
      </c>
      <c r="B13" s="12">
        <f>SUM(B5:B10)</f>
        <v/>
      </c>
      <c r="D13" s="13">
        <f>SUM(D5:D10)</f>
        <v/>
      </c>
      <c r="E13" s="14">
        <f>SUM(E5:E10)</f>
        <v/>
      </c>
      <c r="F13" s="14">
        <f>SUM(F5:F10)</f>
        <v/>
      </c>
      <c r="G13" s="13">
        <f>SUM(G5:G10)</f>
        <v/>
      </c>
      <c r="H13" s="14">
        <f>SUM(H5:H10)</f>
        <v/>
      </c>
      <c r="I13" s="14">
        <f>SUM(I5:I10)</f>
        <v/>
      </c>
      <c r="J13" s="14">
        <f>SUM(J5:J10)</f>
        <v/>
      </c>
      <c r="K13" s="15">
        <f>J13/E13</f>
        <v/>
      </c>
    </row>
    <row r="14">
      <c r="A14" s="12" t="inlineStr">
        <is>
          <t>Expanded total, Session 3 onward (Chicago at 517)</t>
        </is>
      </c>
      <c r="B14" s="12">
        <f>SUM(B5:B9,B11)</f>
        <v/>
      </c>
      <c r="D14" s="13">
        <f>SUM(D5:D9,D11)</f>
        <v/>
      </c>
      <c r="E14" s="14">
        <f>SUM(E5:E9,E11)</f>
        <v/>
      </c>
      <c r="F14" s="14">
        <f>SUM(F5:F9,F11)</f>
        <v/>
      </c>
      <c r="G14" s="13">
        <f>SUM(G5:G9,G11)</f>
        <v/>
      </c>
      <c r="H14" s="14">
        <f>SUM(H5:H9,H11)</f>
        <v/>
      </c>
      <c r="I14" s="14">
        <f>SUM(I5:I9,I11)</f>
        <v/>
      </c>
      <c r="J14" s="14">
        <f>SUM(J5:J9,J11)</f>
        <v/>
      </c>
      <c r="K14" s="15">
        <f>J14/E14</f>
        <v/>
      </c>
    </row>
    <row r="15">
      <c r="D15" s="8" t="n"/>
      <c r="E15" s="7" t="n"/>
      <c r="F15" s="7" t="n"/>
      <c r="G15" s="8" t="n"/>
      <c r="H15" s="7" t="n"/>
      <c r="I15" s="7" t="n"/>
      <c r="J15" s="7" t="n"/>
      <c r="K15" s="11" t="n"/>
    </row>
    <row r="16">
      <c r="A16" t="inlineStr">
        <is>
          <t>New York alone (two buildings)</t>
        </is>
      </c>
      <c r="D16" s="8" t="n"/>
      <c r="E16" s="7">
        <f>E5+E6</f>
        <v/>
      </c>
      <c r="F16" s="7" t="n"/>
      <c r="G16" s="8" t="n"/>
      <c r="H16" s="7" t="n"/>
      <c r="I16" s="7" t="n"/>
      <c r="J16" s="7">
        <f>J5+J6</f>
        <v/>
      </c>
      <c r="K16" s="11" t="n"/>
    </row>
    <row r="17">
      <c r="A17" t="inlineStr">
        <is>
          <t>Revenue per session at capacity, launch / expanded</t>
        </is>
      </c>
      <c r="D17" s="8" t="n"/>
      <c r="E17" s="7">
        <f>E13/Assumptions!$B$7</f>
        <v/>
      </c>
      <c r="F17" s="7" t="n"/>
      <c r="G17" s="8" t="n"/>
      <c r="H17" s="7" t="n"/>
      <c r="I17" s="7" t="n"/>
      <c r="J17" s="7">
        <f>J13/Assumptions!$B$7</f>
        <v/>
      </c>
      <c r="K17" s="11" t="n"/>
    </row>
    <row r="18">
      <c r="A18" t="inlineStr">
        <is>
          <t>Site profit per session at capacity, launch / expanded</t>
        </is>
      </c>
      <c r="D18" s="8" t="n"/>
      <c r="E18" s="7">
        <f>E14/Assumptions!$B$7</f>
        <v/>
      </c>
      <c r="F18" s="7" t="n"/>
      <c r="G18" s="8" t="n"/>
      <c r="H18" s="7" t="n"/>
      <c r="I18" s="7" t="n"/>
      <c r="J18" s="7">
        <f>J14/Assumptions!$B$7</f>
        <v/>
      </c>
      <c r="K18" s="11" t="n"/>
    </row>
    <row r="19">
      <c r="A19" t="inlineStr">
        <is>
          <t>Expanded run rate, net after central team</t>
        </is>
      </c>
      <c r="D19" s="8" t="n"/>
      <c r="E19" s="7" t="n"/>
      <c r="F19" s="7" t="n"/>
      <c r="G19" s="8" t="n"/>
      <c r="H19" s="7" t="n"/>
      <c r="I19" s="7" t="n"/>
      <c r="J19" s="7">
        <f>J14-Assumptions!$B$38</f>
        <v/>
      </c>
      <c r="K19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8" customWidth="1" min="3" max="3"/>
    <col width="8" customWidth="1" min="4" max="4"/>
    <col width="10" customWidth="1" min="5" max="5"/>
    <col width="14" customWidth="1" min="6" max="6"/>
    <col width="13" customWidth="1" min="7" max="7"/>
    <col width="8" customWidth="1" min="8" max="8"/>
    <col width="12" customWidth="1" min="9" max="9"/>
    <col width="12" customWidth="1" min="10" max="10"/>
    <col width="14" customWidth="1" min="11" max="11"/>
    <col width="10" customWidth="1" min="12" max="12"/>
  </cols>
  <sheetData>
    <row r="1">
      <c r="A1" s="1" t="inlineStr">
        <is>
          <t>Year 1 by session: capacity, plan, floor</t>
        </is>
      </c>
    </row>
    <row r="2">
      <c r="A2" s="2" t="inlineStr">
        <is>
          <t>Session 2 runs on the launch footprint (444 seats), Sessions 3 to 5 on the expanded footprint (867 seats). Guides are hired to sold seats: per campus, seats x fill / 10, rounded up.</t>
        </is>
      </c>
    </row>
    <row r="4">
      <c r="A4" s="3" t="inlineStr">
        <is>
          <t>Plan (the number the Head is held to)</t>
        </is>
      </c>
    </row>
    <row r="5">
      <c r="A5" s="9" t="inlineStr">
        <is>
          <t>Session</t>
        </is>
      </c>
      <c r="B5" s="9" t="inlineStr">
        <is>
          <t>Dates</t>
        </is>
      </c>
      <c r="C5" s="9" t="inlineStr">
        <is>
          <t>Fill</t>
        </is>
      </c>
      <c r="D5" s="9" t="inlineStr">
        <is>
          <t>Seats</t>
        </is>
      </c>
      <c r="E5" s="9" t="inlineStr">
        <is>
          <t>Enrolled</t>
        </is>
      </c>
      <c r="F5" s="9" t="inlineStr">
        <is>
          <t>Revenue</t>
        </is>
      </c>
      <c r="G5" s="9" t="inlineStr">
        <is>
          <t>Variable cost</t>
        </is>
      </c>
      <c r="H5" s="9" t="inlineStr">
        <is>
          <t>Guides</t>
        </is>
      </c>
      <c r="I5" s="9" t="inlineStr">
        <is>
          <t>Guide cost</t>
        </is>
      </c>
      <c r="J5" s="9" t="inlineStr">
        <is>
          <t>Fixed cost</t>
        </is>
      </c>
      <c r="K5" s="9" t="inlineStr">
        <is>
          <t>Site profit</t>
        </is>
      </c>
      <c r="L5" s="9" t="inlineStr">
        <is>
          <t>Margin</t>
        </is>
      </c>
    </row>
    <row r="6">
      <c r="A6" t="inlineStr">
        <is>
          <t>Session 2</t>
        </is>
      </c>
      <c r="B6" t="inlineStr">
        <is>
          <t>Oct 19 to Dec 18, 2026</t>
        </is>
      </c>
      <c r="C6" s="11">
        <f>Assumptions!$B$41</f>
        <v/>
      </c>
      <c r="D6" s="8">
        <f>Campuses!B13</f>
        <v/>
      </c>
      <c r="E6" s="8">
        <f>ROUND(D6*Assumptions!$B$8*C6,0)</f>
        <v/>
      </c>
      <c r="F6" s="7">
        <f>E6*Assumptions!$B$5</f>
        <v/>
      </c>
      <c r="G6" s="7">
        <f>E6*Assumptions!$B$21</f>
        <v/>
      </c>
      <c r="H6" s="8">
        <f>SUMPRODUCT(ROUNDUP(Campuses!$B$5:$B$10*C6/Assumptions!$B$25,0))</f>
        <v/>
      </c>
      <c r="I6" s="7">
        <f>H6*Assumptions!$B$24/Assumptions!$B$7</f>
        <v/>
      </c>
      <c r="J6" s="7">
        <f>(Campuses!$I$13)/Assumptions!$B$7</f>
        <v/>
      </c>
      <c r="K6" s="7">
        <f>F6-G6-I6-J6</f>
        <v/>
      </c>
      <c r="L6" s="11">
        <f>K6/F6</f>
        <v/>
      </c>
    </row>
    <row r="7">
      <c r="A7" t="inlineStr">
        <is>
          <t>Session 3</t>
        </is>
      </c>
      <c r="B7" t="inlineStr">
        <is>
          <t>Jan 4 to Feb 19, 2027</t>
        </is>
      </c>
      <c r="C7" s="11">
        <f>Assumptions!$B$42</f>
        <v/>
      </c>
      <c r="D7" s="8">
        <f>Campuses!B14</f>
        <v/>
      </c>
      <c r="E7" s="8">
        <f>ROUND(D7*Assumptions!$B$8*C7,0)</f>
        <v/>
      </c>
      <c r="F7" s="7">
        <f>E7*Assumptions!$B$5</f>
        <v/>
      </c>
      <c r="G7" s="7">
        <f>E7*Assumptions!$B$21</f>
        <v/>
      </c>
      <c r="H7" s="8">
        <f>SUMPRODUCT(ROUNDUP(Campuses!$B$5:$B$9*C7/Assumptions!$B$25,0))+ROUNDUP(Campuses!$B$11*C7/Assumptions!$B$25,0)</f>
        <v/>
      </c>
      <c r="I7" s="7">
        <f>H7*Assumptions!$B$24/Assumptions!$B$7</f>
        <v/>
      </c>
      <c r="J7" s="7">
        <f>(Campuses!$I$13)/Assumptions!$B$7</f>
        <v/>
      </c>
      <c r="K7" s="7">
        <f>F7-G7-I7-J7</f>
        <v/>
      </c>
      <c r="L7" s="11">
        <f>K7/F7</f>
        <v/>
      </c>
    </row>
    <row r="8">
      <c r="A8" t="inlineStr">
        <is>
          <t>Session 4</t>
        </is>
      </c>
      <c r="B8" t="inlineStr">
        <is>
          <t>Feb 24 to Apr 16, 2027</t>
        </is>
      </c>
      <c r="C8" s="11">
        <f>Assumptions!$B$43</f>
        <v/>
      </c>
      <c r="D8" s="8">
        <f>Campuses!B14</f>
        <v/>
      </c>
      <c r="E8" s="8">
        <f>ROUND(D8*Assumptions!$B$8*C8,0)</f>
        <v/>
      </c>
      <c r="F8" s="7">
        <f>E8*Assumptions!$B$5</f>
        <v/>
      </c>
      <c r="G8" s="7">
        <f>E8*Assumptions!$B$21</f>
        <v/>
      </c>
      <c r="H8" s="8">
        <f>SUMPRODUCT(ROUNDUP(Campuses!$B$5:$B$9*C8/Assumptions!$B$25,0))+ROUNDUP(Campuses!$B$11*C8/Assumptions!$B$25,0)</f>
        <v/>
      </c>
      <c r="I8" s="7">
        <f>H8*Assumptions!$B$24/Assumptions!$B$7</f>
        <v/>
      </c>
      <c r="J8" s="7">
        <f>(Campuses!$I$13)/Assumptions!$B$7</f>
        <v/>
      </c>
      <c r="K8" s="7">
        <f>F8-G8-I8-J8</f>
        <v/>
      </c>
      <c r="L8" s="11">
        <f>K8/F8</f>
        <v/>
      </c>
    </row>
    <row r="9">
      <c r="A9" t="inlineStr">
        <is>
          <t>Session 5</t>
        </is>
      </c>
      <c r="B9" t="inlineStr">
        <is>
          <t>Apr 26 to Jun 18, 2027</t>
        </is>
      </c>
      <c r="C9" s="11">
        <f>Assumptions!$B$44</f>
        <v/>
      </c>
      <c r="D9" s="8">
        <f>Campuses!B14</f>
        <v/>
      </c>
      <c r="E9" s="8">
        <f>ROUND(D9*Assumptions!$B$8*C9,0)</f>
        <v/>
      </c>
      <c r="F9" s="7">
        <f>E9*Assumptions!$B$5</f>
        <v/>
      </c>
      <c r="G9" s="7">
        <f>E9*Assumptions!$B$21</f>
        <v/>
      </c>
      <c r="H9" s="8">
        <f>SUMPRODUCT(ROUNDUP(Campuses!$B$5:$B$9*C9/Assumptions!$B$25,0))+ROUNDUP(Campuses!$B$11*C9/Assumptions!$B$25,0)</f>
        <v/>
      </c>
      <c r="I9" s="7">
        <f>H9*Assumptions!$B$24/Assumptions!$B$7</f>
        <v/>
      </c>
      <c r="J9" s="7">
        <f>(Campuses!$I$13)/Assumptions!$B$7</f>
        <v/>
      </c>
      <c r="K9" s="7">
        <f>F9-G9-I9-J9</f>
        <v/>
      </c>
      <c r="L9" s="11">
        <f>K9/F9</f>
        <v/>
      </c>
    </row>
    <row r="10">
      <c r="A10" s="12" t="inlineStr">
        <is>
          <t>Year 1 total</t>
        </is>
      </c>
      <c r="C10" s="11" t="n"/>
      <c r="D10" s="8" t="n"/>
      <c r="E10" s="13">
        <f>SUM(E6:E9)</f>
        <v/>
      </c>
      <c r="F10" s="14">
        <f>SUM(F6:F9)</f>
        <v/>
      </c>
      <c r="G10" s="14">
        <f>SUM(G6:G9)</f>
        <v/>
      </c>
      <c r="H10" s="8" t="n"/>
      <c r="I10" s="14">
        <f>SUM(I6:I9)</f>
        <v/>
      </c>
      <c r="J10" s="14">
        <f>SUM(J6:J9)</f>
        <v/>
      </c>
      <c r="K10" s="14">
        <f>SUM(K6:K9)</f>
        <v/>
      </c>
      <c r="L10" s="11">
        <f>K10/F10</f>
        <v/>
      </c>
    </row>
    <row r="11">
      <c r="A11" t="inlineStr">
        <is>
          <t>Central team (charged in full)</t>
        </is>
      </c>
      <c r="C11" s="11" t="n"/>
      <c r="D11" s="8" t="n"/>
      <c r="E11" s="8" t="n"/>
      <c r="F11" s="7" t="n"/>
      <c r="G11" s="7" t="n"/>
      <c r="H11" s="8" t="n"/>
      <c r="I11" s="7" t="n"/>
      <c r="J11" s="7" t="n"/>
      <c r="K11" s="7">
        <f>-Assumptions!$B$38</f>
        <v/>
      </c>
      <c r="L11" s="11" t="n"/>
    </row>
    <row r="12">
      <c r="A12" s="12" t="inlineStr">
        <is>
          <t>Net</t>
        </is>
      </c>
      <c r="C12" s="11" t="n"/>
      <c r="D12" s="8" t="n"/>
      <c r="E12" s="8" t="n"/>
      <c r="F12" s="7" t="n"/>
      <c r="G12" s="7" t="n"/>
      <c r="H12" s="8" t="n"/>
      <c r="I12" s="7" t="n"/>
      <c r="J12" s="7" t="n"/>
      <c r="K12" s="14">
        <f>K10+K11</f>
        <v/>
      </c>
      <c r="L12" s="11" t="n"/>
    </row>
    <row r="14">
      <c r="A14" s="3" t="inlineStr">
        <is>
          <t>Capacity (every seat sold)</t>
        </is>
      </c>
    </row>
    <row r="15">
      <c r="A15" s="9" t="inlineStr">
        <is>
          <t>Session</t>
        </is>
      </c>
      <c r="B15" s="9" t="inlineStr">
        <is>
          <t>Dates</t>
        </is>
      </c>
      <c r="C15" s="9" t="inlineStr">
        <is>
          <t>Fill</t>
        </is>
      </c>
      <c r="D15" s="9" t="inlineStr">
        <is>
          <t>Seats</t>
        </is>
      </c>
      <c r="E15" s="9" t="inlineStr">
        <is>
          <t>Enrolled</t>
        </is>
      </c>
      <c r="F15" s="9" t="inlineStr">
        <is>
          <t>Revenue</t>
        </is>
      </c>
      <c r="G15" s="9" t="inlineStr">
        <is>
          <t>Variable cost</t>
        </is>
      </c>
      <c r="H15" s="9" t="inlineStr">
        <is>
          <t>Guides</t>
        </is>
      </c>
      <c r="I15" s="9" t="inlineStr">
        <is>
          <t>Guide cost</t>
        </is>
      </c>
      <c r="J15" s="9" t="inlineStr">
        <is>
          <t>Fixed cost</t>
        </is>
      </c>
      <c r="K15" s="9" t="inlineStr">
        <is>
          <t>Site profit</t>
        </is>
      </c>
      <c r="L15" s="9" t="inlineStr">
        <is>
          <t>Margin</t>
        </is>
      </c>
    </row>
    <row r="16">
      <c r="A16" t="inlineStr">
        <is>
          <t>Session 2</t>
        </is>
      </c>
      <c r="B16" t="inlineStr">
        <is>
          <t>Oct 19 to Dec 18, 2026</t>
        </is>
      </c>
      <c r="C16" s="11" t="n">
        <v>1</v>
      </c>
      <c r="D16" s="8">
        <f>Campuses!B13</f>
        <v/>
      </c>
      <c r="E16" s="8">
        <f>ROUND(D16*Assumptions!$B$8*C16,0)</f>
        <v/>
      </c>
      <c r="F16" s="7">
        <f>E16*Assumptions!$B$5</f>
        <v/>
      </c>
      <c r="G16" s="7">
        <f>E16*Assumptions!$B$21</f>
        <v/>
      </c>
      <c r="H16" s="8">
        <f>SUMPRODUCT(ROUNDUP(Campuses!$B$5:$B$10*C16/Assumptions!$B$25,0))</f>
        <v/>
      </c>
      <c r="I16" s="7">
        <f>H16*Assumptions!$B$24/Assumptions!$B$7</f>
        <v/>
      </c>
      <c r="J16" s="7">
        <f>(Campuses!$I$13)/Assumptions!$B$7</f>
        <v/>
      </c>
      <c r="K16" s="7">
        <f>F16-G16-I16-J16</f>
        <v/>
      </c>
      <c r="L16" s="11">
        <f>K16/F16</f>
        <v/>
      </c>
    </row>
    <row r="17">
      <c r="A17" t="inlineStr">
        <is>
          <t>Session 3</t>
        </is>
      </c>
      <c r="B17" t="inlineStr">
        <is>
          <t>Jan 4 to Feb 19, 2027</t>
        </is>
      </c>
      <c r="C17" s="11" t="n">
        <v>1</v>
      </c>
      <c r="D17" s="8">
        <f>Campuses!B14</f>
        <v/>
      </c>
      <c r="E17" s="8">
        <f>ROUND(D17*Assumptions!$B$8*C17,0)</f>
        <v/>
      </c>
      <c r="F17" s="7">
        <f>E17*Assumptions!$B$5</f>
        <v/>
      </c>
      <c r="G17" s="7">
        <f>E17*Assumptions!$B$21</f>
        <v/>
      </c>
      <c r="H17" s="8">
        <f>SUMPRODUCT(ROUNDUP(Campuses!$B$5:$B$9*C17/Assumptions!$B$25,0))+ROUNDUP(Campuses!$B$11*C17/Assumptions!$B$25,0)</f>
        <v/>
      </c>
      <c r="I17" s="7">
        <f>H17*Assumptions!$B$24/Assumptions!$B$7</f>
        <v/>
      </c>
      <c r="J17" s="7">
        <f>(Campuses!$I$13)/Assumptions!$B$7</f>
        <v/>
      </c>
      <c r="K17" s="7">
        <f>F17-G17-I17-J17</f>
        <v/>
      </c>
      <c r="L17" s="11">
        <f>K17/F17</f>
        <v/>
      </c>
    </row>
    <row r="18">
      <c r="A18" t="inlineStr">
        <is>
          <t>Session 4</t>
        </is>
      </c>
      <c r="B18" t="inlineStr">
        <is>
          <t>Feb 24 to Apr 16, 2027</t>
        </is>
      </c>
      <c r="C18" s="11" t="n">
        <v>1</v>
      </c>
      <c r="D18" s="8">
        <f>Campuses!B14</f>
        <v/>
      </c>
      <c r="E18" s="8">
        <f>ROUND(D18*Assumptions!$B$8*C18,0)</f>
        <v/>
      </c>
      <c r="F18" s="7">
        <f>E18*Assumptions!$B$5</f>
        <v/>
      </c>
      <c r="G18" s="7">
        <f>E18*Assumptions!$B$21</f>
        <v/>
      </c>
      <c r="H18" s="8">
        <f>SUMPRODUCT(ROUNDUP(Campuses!$B$5:$B$9*C18/Assumptions!$B$25,0))+ROUNDUP(Campuses!$B$11*C18/Assumptions!$B$25,0)</f>
        <v/>
      </c>
      <c r="I18" s="7">
        <f>H18*Assumptions!$B$24/Assumptions!$B$7</f>
        <v/>
      </c>
      <c r="J18" s="7">
        <f>(Campuses!$I$13)/Assumptions!$B$7</f>
        <v/>
      </c>
      <c r="K18" s="7">
        <f>F18-G18-I18-J18</f>
        <v/>
      </c>
      <c r="L18" s="11">
        <f>K18/F18</f>
        <v/>
      </c>
    </row>
    <row r="19">
      <c r="A19" t="inlineStr">
        <is>
          <t>Session 5</t>
        </is>
      </c>
      <c r="B19" t="inlineStr">
        <is>
          <t>Apr 26 to Jun 18, 2027</t>
        </is>
      </c>
      <c r="C19" s="11" t="n">
        <v>1</v>
      </c>
      <c r="D19" s="8">
        <f>Campuses!B14</f>
        <v/>
      </c>
      <c r="E19" s="8">
        <f>ROUND(D19*Assumptions!$B$8*C19,0)</f>
        <v/>
      </c>
      <c r="F19" s="7">
        <f>E19*Assumptions!$B$5</f>
        <v/>
      </c>
      <c r="G19" s="7">
        <f>E19*Assumptions!$B$21</f>
        <v/>
      </c>
      <c r="H19" s="8">
        <f>SUMPRODUCT(ROUNDUP(Campuses!$B$5:$B$9*C19/Assumptions!$B$25,0))+ROUNDUP(Campuses!$B$11*C19/Assumptions!$B$25,0)</f>
        <v/>
      </c>
      <c r="I19" s="7">
        <f>H19*Assumptions!$B$24/Assumptions!$B$7</f>
        <v/>
      </c>
      <c r="J19" s="7">
        <f>(Campuses!$I$13)/Assumptions!$B$7</f>
        <v/>
      </c>
      <c r="K19" s="7">
        <f>F19-G19-I19-J19</f>
        <v/>
      </c>
      <c r="L19" s="11">
        <f>K19/F19</f>
        <v/>
      </c>
    </row>
    <row r="20">
      <c r="A20" s="12" t="inlineStr">
        <is>
          <t>Year 1 total</t>
        </is>
      </c>
      <c r="C20" s="11" t="n"/>
      <c r="D20" s="8" t="n"/>
      <c r="E20" s="13">
        <f>SUM(E16:E19)</f>
        <v/>
      </c>
      <c r="F20" s="14">
        <f>SUM(F16:F19)</f>
        <v/>
      </c>
      <c r="G20" s="14">
        <f>SUM(G16:G19)</f>
        <v/>
      </c>
      <c r="H20" s="8" t="n"/>
      <c r="I20" s="14">
        <f>SUM(I16:I19)</f>
        <v/>
      </c>
      <c r="J20" s="14">
        <f>SUM(J16:J19)</f>
        <v/>
      </c>
      <c r="K20" s="14">
        <f>SUM(K16:K19)</f>
        <v/>
      </c>
      <c r="L20" s="11">
        <f>K20/F20</f>
        <v/>
      </c>
    </row>
    <row r="21">
      <c r="A21" t="inlineStr">
        <is>
          <t>Central team (charged in full)</t>
        </is>
      </c>
      <c r="C21" s="11" t="n"/>
      <c r="D21" s="8" t="n"/>
      <c r="E21" s="8" t="n"/>
      <c r="F21" s="7" t="n"/>
      <c r="G21" s="7" t="n"/>
      <c r="H21" s="8" t="n"/>
      <c r="I21" s="7" t="n"/>
      <c r="J21" s="7" t="n"/>
      <c r="K21" s="7">
        <f>-Assumptions!$B$38</f>
        <v/>
      </c>
      <c r="L21" s="11" t="n"/>
    </row>
    <row r="22">
      <c r="A22" s="12" t="inlineStr">
        <is>
          <t>Net</t>
        </is>
      </c>
      <c r="C22" s="11" t="n"/>
      <c r="D22" s="8" t="n"/>
      <c r="E22" s="8" t="n"/>
      <c r="F22" s="7" t="n"/>
      <c r="G22" s="7" t="n"/>
      <c r="H22" s="8" t="n"/>
      <c r="I22" s="7" t="n"/>
      <c r="J22" s="7" t="n"/>
      <c r="K22" s="14">
        <f>K20+K21</f>
        <v/>
      </c>
      <c r="L22" s="11" t="n"/>
    </row>
    <row r="24">
      <c r="A24" s="3" t="inlineStr">
        <is>
          <t>Floor (25 percent fill all year)</t>
        </is>
      </c>
    </row>
    <row r="25">
      <c r="A25" s="9" t="inlineStr">
        <is>
          <t>Session</t>
        </is>
      </c>
      <c r="B25" s="9" t="inlineStr">
        <is>
          <t>Dates</t>
        </is>
      </c>
      <c r="C25" s="9" t="inlineStr">
        <is>
          <t>Fill</t>
        </is>
      </c>
      <c r="D25" s="9" t="inlineStr">
        <is>
          <t>Seats</t>
        </is>
      </c>
      <c r="E25" s="9" t="inlineStr">
        <is>
          <t>Enrolled</t>
        </is>
      </c>
      <c r="F25" s="9" t="inlineStr">
        <is>
          <t>Revenue</t>
        </is>
      </c>
      <c r="G25" s="9" t="inlineStr">
        <is>
          <t>Variable cost</t>
        </is>
      </c>
      <c r="H25" s="9" t="inlineStr">
        <is>
          <t>Guides</t>
        </is>
      </c>
      <c r="I25" s="9" t="inlineStr">
        <is>
          <t>Guide cost</t>
        </is>
      </c>
      <c r="J25" s="9" t="inlineStr">
        <is>
          <t>Fixed cost</t>
        </is>
      </c>
      <c r="K25" s="9" t="inlineStr">
        <is>
          <t>Site profit</t>
        </is>
      </c>
      <c r="L25" s="9" t="inlineStr">
        <is>
          <t>Margin</t>
        </is>
      </c>
    </row>
    <row r="26">
      <c r="A26" t="inlineStr">
        <is>
          <t>Session 2</t>
        </is>
      </c>
      <c r="B26" t="inlineStr">
        <is>
          <t>Oct 19 to Dec 18, 2026</t>
        </is>
      </c>
      <c r="C26" s="11">
        <f>Assumptions!$B$45</f>
        <v/>
      </c>
      <c r="D26" s="8">
        <f>Campuses!B13</f>
        <v/>
      </c>
      <c r="E26" s="8">
        <f>ROUND(D26*Assumptions!$B$8*C26,0)</f>
        <v/>
      </c>
      <c r="F26" s="7">
        <f>E26*Assumptions!$B$5</f>
        <v/>
      </c>
      <c r="G26" s="7">
        <f>E26*Assumptions!$B$21</f>
        <v/>
      </c>
      <c r="H26" s="8">
        <f>SUMPRODUCT(ROUNDUP(Campuses!$B$5:$B$10*C26/Assumptions!$B$25,0))</f>
        <v/>
      </c>
      <c r="I26" s="7">
        <f>H26*Assumptions!$B$24/Assumptions!$B$7</f>
        <v/>
      </c>
      <c r="J26" s="7">
        <f>(Campuses!$I$13)/Assumptions!$B$7</f>
        <v/>
      </c>
      <c r="K26" s="7">
        <f>F26-G26-I26-J26</f>
        <v/>
      </c>
      <c r="L26" s="11">
        <f>K26/F26</f>
        <v/>
      </c>
    </row>
    <row r="27">
      <c r="A27" t="inlineStr">
        <is>
          <t>Session 3</t>
        </is>
      </c>
      <c r="B27" t="inlineStr">
        <is>
          <t>Jan 4 to Feb 19, 2027</t>
        </is>
      </c>
      <c r="C27" s="11">
        <f>Assumptions!$B$45</f>
        <v/>
      </c>
      <c r="D27" s="8">
        <f>Campuses!B14</f>
        <v/>
      </c>
      <c r="E27" s="8">
        <f>ROUND(D27*Assumptions!$B$8*C27,0)</f>
        <v/>
      </c>
      <c r="F27" s="7">
        <f>E27*Assumptions!$B$5</f>
        <v/>
      </c>
      <c r="G27" s="7">
        <f>E27*Assumptions!$B$21</f>
        <v/>
      </c>
      <c r="H27" s="8">
        <f>SUMPRODUCT(ROUNDUP(Campuses!$B$5:$B$9*C27/Assumptions!$B$25,0))+ROUNDUP(Campuses!$B$11*C27/Assumptions!$B$25,0)</f>
        <v/>
      </c>
      <c r="I27" s="7">
        <f>H27*Assumptions!$B$24/Assumptions!$B$7</f>
        <v/>
      </c>
      <c r="J27" s="7">
        <f>(Campuses!$I$13)/Assumptions!$B$7</f>
        <v/>
      </c>
      <c r="K27" s="7">
        <f>F27-G27-I27-J27</f>
        <v/>
      </c>
      <c r="L27" s="11">
        <f>K27/F27</f>
        <v/>
      </c>
    </row>
    <row r="28">
      <c r="A28" t="inlineStr">
        <is>
          <t>Session 4</t>
        </is>
      </c>
      <c r="B28" t="inlineStr">
        <is>
          <t>Feb 24 to Apr 16, 2027</t>
        </is>
      </c>
      <c r="C28" s="11">
        <f>Assumptions!$B$45</f>
        <v/>
      </c>
      <c r="D28" s="8">
        <f>Campuses!B14</f>
        <v/>
      </c>
      <c r="E28" s="8">
        <f>ROUND(D28*Assumptions!$B$8*C28,0)</f>
        <v/>
      </c>
      <c r="F28" s="7">
        <f>E28*Assumptions!$B$5</f>
        <v/>
      </c>
      <c r="G28" s="7">
        <f>E28*Assumptions!$B$21</f>
        <v/>
      </c>
      <c r="H28" s="8">
        <f>SUMPRODUCT(ROUNDUP(Campuses!$B$5:$B$9*C28/Assumptions!$B$25,0))+ROUNDUP(Campuses!$B$11*C28/Assumptions!$B$25,0)</f>
        <v/>
      </c>
      <c r="I28" s="7">
        <f>H28*Assumptions!$B$24/Assumptions!$B$7</f>
        <v/>
      </c>
      <c r="J28" s="7">
        <f>(Campuses!$I$13)/Assumptions!$B$7</f>
        <v/>
      </c>
      <c r="K28" s="7">
        <f>F28-G28-I28-J28</f>
        <v/>
      </c>
      <c r="L28" s="11">
        <f>K28/F28</f>
        <v/>
      </c>
    </row>
    <row r="29">
      <c r="A29" t="inlineStr">
        <is>
          <t>Session 5</t>
        </is>
      </c>
      <c r="B29" t="inlineStr">
        <is>
          <t>Apr 26 to Jun 18, 2027</t>
        </is>
      </c>
      <c r="C29" s="11">
        <f>Assumptions!$B$45</f>
        <v/>
      </c>
      <c r="D29" s="8">
        <f>Campuses!B14</f>
        <v/>
      </c>
      <c r="E29" s="8">
        <f>ROUND(D29*Assumptions!$B$8*C29,0)</f>
        <v/>
      </c>
      <c r="F29" s="7">
        <f>E29*Assumptions!$B$5</f>
        <v/>
      </c>
      <c r="G29" s="7">
        <f>E29*Assumptions!$B$21</f>
        <v/>
      </c>
      <c r="H29" s="8">
        <f>SUMPRODUCT(ROUNDUP(Campuses!$B$5:$B$9*C29/Assumptions!$B$25,0))+ROUNDUP(Campuses!$B$11*C29/Assumptions!$B$25,0)</f>
        <v/>
      </c>
      <c r="I29" s="7">
        <f>H29*Assumptions!$B$24/Assumptions!$B$7</f>
        <v/>
      </c>
      <c r="J29" s="7">
        <f>(Campuses!$I$13)/Assumptions!$B$7</f>
        <v/>
      </c>
      <c r="K29" s="7">
        <f>F29-G29-I29-J29</f>
        <v/>
      </c>
      <c r="L29" s="11">
        <f>K29/F29</f>
        <v/>
      </c>
    </row>
    <row r="30">
      <c r="A30" s="12" t="inlineStr">
        <is>
          <t>Year 1 total</t>
        </is>
      </c>
      <c r="C30" s="11" t="n"/>
      <c r="D30" s="8" t="n"/>
      <c r="E30" s="13">
        <f>SUM(E26:E29)</f>
        <v/>
      </c>
      <c r="F30" s="14">
        <f>SUM(F26:F29)</f>
        <v/>
      </c>
      <c r="G30" s="14">
        <f>SUM(G26:G29)</f>
        <v/>
      </c>
      <c r="H30" s="8" t="n"/>
      <c r="I30" s="14">
        <f>SUM(I26:I29)</f>
        <v/>
      </c>
      <c r="J30" s="14">
        <f>SUM(J26:J29)</f>
        <v/>
      </c>
      <c r="K30" s="14">
        <f>SUM(K26:K29)</f>
        <v/>
      </c>
      <c r="L30" s="11">
        <f>K30/F30</f>
        <v/>
      </c>
    </row>
    <row r="31">
      <c r="A31" t="inlineStr">
        <is>
          <t>Central team (charged in full)</t>
        </is>
      </c>
      <c r="C31" s="11" t="n"/>
      <c r="D31" s="8" t="n"/>
      <c r="E31" s="8" t="n"/>
      <c r="F31" s="7" t="n"/>
      <c r="G31" s="7" t="n"/>
      <c r="H31" s="8" t="n"/>
      <c r="I31" s="7" t="n"/>
      <c r="J31" s="7" t="n"/>
      <c r="K31" s="7">
        <f>-Assumptions!$B$38</f>
        <v/>
      </c>
      <c r="L31" s="11" t="n"/>
    </row>
    <row r="32">
      <c r="A32" s="12" t="inlineStr">
        <is>
          <t>Net</t>
        </is>
      </c>
      <c r="C32" s="11" t="n"/>
      <c r="D32" s="8" t="n"/>
      <c r="E32" s="8" t="n"/>
      <c r="F32" s="7" t="n"/>
      <c r="G32" s="7" t="n"/>
      <c r="H32" s="8" t="n"/>
      <c r="I32" s="7" t="n"/>
      <c r="J32" s="7" t="n"/>
      <c r="K32" s="14">
        <f>K30+K31</f>
        <v/>
      </c>
      <c r="L32" s="11" t="n"/>
    </row>
    <row r="34">
      <c r="A34" s="3" t="inlineStr">
        <is>
          <t>Summary</t>
        </is>
      </c>
    </row>
    <row r="35">
      <c r="A35" s="9" t="inlineStr">
        <is>
          <t>Case</t>
        </is>
      </c>
      <c r="B35" s="9" t="inlineStr"/>
      <c r="C35" s="9" t="inlineStr"/>
      <c r="D35" s="9" t="inlineStr"/>
      <c r="E35" s="9" t="inlineStr"/>
      <c r="F35" s="9" t="inlineStr">
        <is>
          <t>Revenue</t>
        </is>
      </c>
      <c r="G35" s="9" t="inlineStr"/>
      <c r="H35" s="9" t="inlineStr"/>
      <c r="I35" s="9" t="inlineStr"/>
      <c r="J35" s="9" t="inlineStr"/>
      <c r="K35" s="9" t="inlineStr">
        <is>
          <t>Site profit</t>
        </is>
      </c>
      <c r="L35" s="9" t="inlineStr">
        <is>
          <t>Net</t>
        </is>
      </c>
    </row>
    <row r="36">
      <c r="A36" t="inlineStr">
        <is>
          <t>Capacity</t>
        </is>
      </c>
      <c r="F36" s="7">
        <f>F20</f>
        <v/>
      </c>
      <c r="K36" s="7">
        <f>K20</f>
        <v/>
      </c>
      <c r="L36" s="7">
        <f>K22</f>
        <v/>
      </c>
    </row>
    <row r="37">
      <c r="A37" t="inlineStr">
        <is>
          <t>Plan</t>
        </is>
      </c>
      <c r="F37" s="7">
        <f>F10</f>
        <v/>
      </c>
      <c r="K37" s="7">
        <f>K10</f>
        <v/>
      </c>
      <c r="L37" s="7">
        <f>K12</f>
        <v/>
      </c>
    </row>
    <row r="38">
      <c r="A38" t="inlineStr">
        <is>
          <t>Floor</t>
        </is>
      </c>
      <c r="F38" s="7">
        <f>F30</f>
        <v/>
      </c>
      <c r="K38" s="7">
        <f>K30</f>
        <v/>
      </c>
      <c r="L38" s="7">
        <f>K32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6" customWidth="1" min="1" max="1"/>
    <col width="16" customWidth="1" min="2" max="2"/>
  </cols>
  <sheetData>
    <row r="1">
      <c r="A1" s="1" t="inlineStr">
        <is>
          <t>A 100-seat campus at capacity, line by line, per year</t>
        </is>
      </c>
    </row>
    <row r="2">
      <c r="A2" s="2" t="inlineStr">
        <is>
          <t>Change the seats in B4 to see any campus.</t>
        </is>
      </c>
    </row>
    <row r="4">
      <c r="A4" t="inlineStr">
        <is>
          <t>Seats</t>
        </is>
      </c>
      <c r="B4" s="10" t="n">
        <v>100</v>
      </c>
    </row>
    <row r="5">
      <c r="A5" t="inlineStr">
        <is>
          <t>Enrolled</t>
        </is>
      </c>
      <c r="B5">
        <f>B4*Assumptions!$B$8</f>
        <v/>
      </c>
    </row>
    <row r="7">
      <c r="A7" t="inlineStr">
        <is>
          <t>Revenue</t>
        </is>
      </c>
      <c r="B7" s="7">
        <f>B5*Assumptions!$B$5*Assumptions!$B$7</f>
        <v/>
      </c>
    </row>
    <row r="8">
      <c r="A8" t="inlineStr">
        <is>
          <t>Timeback</t>
        </is>
      </c>
      <c r="B8" s="7">
        <f>-B5*Assumptions!$B$14*Assumptions!$B$7</f>
        <v/>
      </c>
    </row>
    <row r="9">
      <c r="A9" t="inlineStr">
        <is>
          <t>Extrinsic motivation model (Emporium)</t>
        </is>
      </c>
      <c r="B9" s="7">
        <f>-B5*Assumptions!$B$15*Assumptions!$B$7</f>
        <v/>
      </c>
    </row>
    <row r="10">
      <c r="A10" t="inlineStr">
        <is>
          <t>Supplies</t>
        </is>
      </c>
      <c r="B10" s="7">
        <f>-B5*Assumptions!$B$16*Assumptions!$B$7</f>
        <v/>
      </c>
    </row>
    <row r="11">
      <c r="A11" t="inlineStr">
        <is>
          <t>Snacks</t>
        </is>
      </c>
      <c r="B11" s="7">
        <f>-B5*Assumptions!$B$17*Assumptions!$B$7</f>
        <v/>
      </c>
    </row>
    <row r="12">
      <c r="A12" t="inlineStr">
        <is>
          <t>AlphaTest Showcase (per child reports plus campus events)</t>
        </is>
      </c>
      <c r="B12" s="7">
        <f>-(B5*Assumptions!$B$18*Assumptions!$B$7+Assumptions!$B$32*Assumptions!$B$7)</f>
        <v/>
      </c>
    </row>
    <row r="13">
      <c r="A13" t="inlineStr">
        <is>
          <t>Payment processing</t>
        </is>
      </c>
      <c r="B13" s="7">
        <f>-B7*Assumptions!$B$19</f>
        <v/>
      </c>
    </row>
    <row r="14">
      <c r="A14" t="inlineStr">
        <is>
          <t>Local marketing</t>
        </is>
      </c>
      <c r="B14" s="7">
        <f>-B5*Assumptions!$B$20*Assumptions!$B$7</f>
        <v/>
      </c>
    </row>
    <row r="15">
      <c r="A15" t="inlineStr">
        <is>
          <t>Guides (seats / 10, rounded up, at guide salary)</t>
        </is>
      </c>
      <c r="B15" s="7">
        <f>-ROUNDUP(B4/Assumptions!$B$25,0)*Assumptions!$B$24</f>
        <v/>
      </c>
    </row>
    <row r="16">
      <c r="A16" t="inlineStr">
        <is>
          <t>Lead Guide</t>
        </is>
      </c>
      <c r="B16" s="7">
        <f>-Assumptions!$B$28</f>
        <v/>
      </c>
    </row>
    <row r="17">
      <c r="A17" t="inlineStr">
        <is>
          <t>Campus Coordinator</t>
        </is>
      </c>
      <c r="B17" s="7">
        <f>-Assumptions!$B$29</f>
        <v/>
      </c>
    </row>
    <row r="18">
      <c r="A18" t="inlineStr">
        <is>
          <t>Facility</t>
        </is>
      </c>
      <c r="B18" s="7">
        <f>-Assumptions!$B$30</f>
        <v/>
      </c>
    </row>
    <row r="19">
      <c r="A19" t="inlineStr">
        <is>
          <t>Insurance</t>
        </is>
      </c>
      <c r="B19" s="7">
        <f>-Assumptions!$B$31</f>
        <v/>
      </c>
    </row>
    <row r="21">
      <c r="A21" s="12" t="inlineStr">
        <is>
          <t>Total cost</t>
        </is>
      </c>
      <c r="B21" s="14">
        <f>SUM(B8:B19)</f>
        <v/>
      </c>
    </row>
    <row r="22">
      <c r="A22" s="12" t="inlineStr">
        <is>
          <t>Site profit</t>
        </is>
      </c>
      <c r="B22" s="14">
        <f>B7+B21</f>
        <v/>
      </c>
    </row>
    <row r="23">
      <c r="A23" t="inlineStr">
        <is>
          <t>Margin</t>
        </is>
      </c>
      <c r="B23" s="11">
        <f>B22/B7</f>
        <v/>
      </c>
    </row>
    <row r="25">
      <c r="A25" t="inlineStr">
        <is>
          <t>Motivation model, snacks and showcase together</t>
        </is>
      </c>
      <c r="B25" s="7">
        <f>-(B9+B11+B12)</f>
        <v/>
      </c>
    </row>
    <row r="26">
      <c r="A26" t="inlineStr">
        <is>
          <t>As a share of revenue</t>
        </is>
      </c>
      <c r="B26" s="16">
        <f>B25/B7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13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9" customWidth="1" min="10" max="10"/>
  </cols>
  <sheetData>
    <row r="1">
      <c r="A1" s="1" t="inlineStr">
        <is>
          <t>Sensitivity on the expanded footprint (867 seats), annual</t>
        </is>
      </c>
    </row>
    <row r="4">
      <c r="A4" s="3" t="inlineStr">
        <is>
          <t>Fill</t>
        </is>
      </c>
    </row>
    <row r="5">
      <c r="A5" s="9" t="inlineStr">
        <is>
          <t>Fill</t>
        </is>
      </c>
      <c r="B5" s="9" t="inlineStr">
        <is>
          <t>Enrolled</t>
        </is>
      </c>
      <c r="C5" s="9" t="inlineStr">
        <is>
          <t>Revenue</t>
        </is>
      </c>
      <c r="D5" s="9" t="inlineStr">
        <is>
          <t>Variable cost</t>
        </is>
      </c>
      <c r="E5" s="9" t="inlineStr">
        <is>
          <t>Guides</t>
        </is>
      </c>
      <c r="F5" s="9" t="inlineStr">
        <is>
          <t>Guide cost</t>
        </is>
      </c>
      <c r="G5" s="9" t="inlineStr">
        <is>
          <t>Fixed cost</t>
        </is>
      </c>
      <c r="H5" s="9" t="inlineStr">
        <is>
          <t>Site profit</t>
        </is>
      </c>
      <c r="I5" s="9" t="inlineStr">
        <is>
          <t>Net after central</t>
        </is>
      </c>
      <c r="J5" s="9" t="inlineStr">
        <is>
          <t>Margin</t>
        </is>
      </c>
    </row>
    <row r="6">
      <c r="A6" s="6" t="n">
        <v>0.25</v>
      </c>
      <c r="B6" s="8">
        <f>ROUND(Campuses!$B$14*Assumptions!$B$8*A6,0)</f>
        <v/>
      </c>
      <c r="C6" s="7">
        <f>B6*Assumptions!$B$5*Assumptions!$B$7</f>
        <v/>
      </c>
      <c r="D6" s="7">
        <f>B6*Assumptions!$B$22</f>
        <v/>
      </c>
      <c r="E6" s="8">
        <f>SUMPRODUCT(ROUNDUP(Campuses!$B$5:$B$9*A6/Assumptions!$B$25,0))+ROUNDUP(Campuses!$B$11*A6/Assumptions!$B$25,0)</f>
        <v/>
      </c>
      <c r="F6" s="7">
        <f>E6*Assumptions!$B$24</f>
        <v/>
      </c>
      <c r="G6" s="7">
        <f>Campuses!$I$14</f>
        <v/>
      </c>
      <c r="H6" s="7">
        <f>C6-D6-F6-G6</f>
        <v/>
      </c>
      <c r="I6" s="7">
        <f>H6-Assumptions!$B$38</f>
        <v/>
      </c>
      <c r="J6" s="11">
        <f>H6/C6</f>
        <v/>
      </c>
    </row>
    <row r="7">
      <c r="A7" s="6" t="n">
        <v>0.5</v>
      </c>
      <c r="B7" s="8">
        <f>ROUND(Campuses!$B$14*Assumptions!$B$8*A7,0)</f>
        <v/>
      </c>
      <c r="C7" s="7">
        <f>B7*Assumptions!$B$5*Assumptions!$B$7</f>
        <v/>
      </c>
      <c r="D7" s="7">
        <f>B7*Assumptions!$B$22</f>
        <v/>
      </c>
      <c r="E7" s="8">
        <f>SUMPRODUCT(ROUNDUP(Campuses!$B$5:$B$9*A7/Assumptions!$B$25,0))+ROUNDUP(Campuses!$B$11*A7/Assumptions!$B$25,0)</f>
        <v/>
      </c>
      <c r="F7" s="7">
        <f>E7*Assumptions!$B$24</f>
        <v/>
      </c>
      <c r="G7" s="7">
        <f>Campuses!$I$14</f>
        <v/>
      </c>
      <c r="H7" s="7">
        <f>C7-D7-F7-G7</f>
        <v/>
      </c>
      <c r="I7" s="7">
        <f>H7-Assumptions!$B$38</f>
        <v/>
      </c>
      <c r="J7" s="11">
        <f>H7/C7</f>
        <v/>
      </c>
    </row>
    <row r="8">
      <c r="A8" s="6" t="n">
        <v>0.75</v>
      </c>
      <c r="B8" s="8">
        <f>ROUND(Campuses!$B$14*Assumptions!$B$8*A8,0)</f>
        <v/>
      </c>
      <c r="C8" s="7">
        <f>B8*Assumptions!$B$5*Assumptions!$B$7</f>
        <v/>
      </c>
      <c r="D8" s="7">
        <f>B8*Assumptions!$B$22</f>
        <v/>
      </c>
      <c r="E8" s="8">
        <f>SUMPRODUCT(ROUNDUP(Campuses!$B$5:$B$9*A8/Assumptions!$B$25,0))+ROUNDUP(Campuses!$B$11*A8/Assumptions!$B$25,0)</f>
        <v/>
      </c>
      <c r="F8" s="7">
        <f>E8*Assumptions!$B$24</f>
        <v/>
      </c>
      <c r="G8" s="7">
        <f>Campuses!$I$14</f>
        <v/>
      </c>
      <c r="H8" s="7">
        <f>C8-D8-F8-G8</f>
        <v/>
      </c>
      <c r="I8" s="7">
        <f>H8-Assumptions!$B$38</f>
        <v/>
      </c>
      <c r="J8" s="11">
        <f>H8/C8</f>
        <v/>
      </c>
    </row>
    <row r="9">
      <c r="A9" s="6" t="n">
        <v>1</v>
      </c>
      <c r="B9" s="8">
        <f>ROUND(Campuses!$B$14*Assumptions!$B$8*A9,0)</f>
        <v/>
      </c>
      <c r="C9" s="7">
        <f>B9*Assumptions!$B$5*Assumptions!$B$7</f>
        <v/>
      </c>
      <c r="D9" s="7">
        <f>B9*Assumptions!$B$22</f>
        <v/>
      </c>
      <c r="E9" s="8">
        <f>SUMPRODUCT(ROUNDUP(Campuses!$B$5:$B$9*A9/Assumptions!$B$25,0))+ROUNDUP(Campuses!$B$11*A9/Assumptions!$B$25,0)</f>
        <v/>
      </c>
      <c r="F9" s="7">
        <f>E9*Assumptions!$B$24</f>
        <v/>
      </c>
      <c r="G9" s="7">
        <f>Campuses!$I$14</f>
        <v/>
      </c>
      <c r="H9" s="7">
        <f>C9-D9-F9-G9</f>
        <v/>
      </c>
      <c r="I9" s="7">
        <f>H9-Assumptions!$B$38</f>
        <v/>
      </c>
      <c r="J9" s="11">
        <f>H9/C9</f>
        <v/>
      </c>
    </row>
    <row r="12">
      <c r="A12" s="3" t="inlineStr">
        <is>
          <t>Price (at capacity; processing scales with price)</t>
        </is>
      </c>
    </row>
    <row r="13">
      <c r="A13" s="9" t="inlineStr">
        <is>
          <t>Session price</t>
        </is>
      </c>
      <c r="B13" s="9" t="inlineStr">
        <is>
          <t>Enrolled</t>
        </is>
      </c>
      <c r="C13" s="9" t="inlineStr">
        <is>
          <t>Revenue</t>
        </is>
      </c>
      <c r="D13" s="9" t="inlineStr">
        <is>
          <t>Variable cost</t>
        </is>
      </c>
      <c r="E13" s="9" t="inlineStr"/>
      <c r="F13" s="9" t="inlineStr">
        <is>
          <t>Guide cost</t>
        </is>
      </c>
      <c r="G13" s="9" t="inlineStr">
        <is>
          <t>Fixed cost</t>
        </is>
      </c>
      <c r="H13" s="9" t="inlineStr">
        <is>
          <t>Site profit</t>
        </is>
      </c>
      <c r="I13" s="9" t="inlineStr">
        <is>
          <t>Net after central</t>
        </is>
      </c>
      <c r="J13" s="9" t="inlineStr">
        <is>
          <t>Margin</t>
        </is>
      </c>
    </row>
    <row r="14">
      <c r="A14" s="4" t="n">
        <v>3500</v>
      </c>
      <c r="B14" s="8">
        <f>Campuses!$D$14</f>
        <v/>
      </c>
      <c r="C14" s="7">
        <f>B14*A14*Assumptions!$B$7</f>
        <v/>
      </c>
      <c r="D14" s="7">
        <f>B14*(Assumptions!$B$21-Assumptions!$B$19*Assumptions!$B$5+Assumptions!$B$19*A14)*Assumptions!$B$7</f>
        <v/>
      </c>
      <c r="F14" s="7">
        <f>Campuses!$H$14</f>
        <v/>
      </c>
      <c r="G14" s="7">
        <f>Campuses!$I$14</f>
        <v/>
      </c>
      <c r="H14" s="7">
        <f>C14-D14-F14-G14</f>
        <v/>
      </c>
      <c r="I14" s="7">
        <f>H14-Assumptions!$B$38</f>
        <v/>
      </c>
      <c r="J14" s="11">
        <f>H14/C14</f>
        <v/>
      </c>
    </row>
    <row r="15">
      <c r="A15" s="4" t="n">
        <v>4000</v>
      </c>
      <c r="B15" s="8">
        <f>Campuses!$D$14</f>
        <v/>
      </c>
      <c r="C15" s="7">
        <f>B15*A15*Assumptions!$B$7</f>
        <v/>
      </c>
      <c r="D15" s="7">
        <f>B15*(Assumptions!$B$21-Assumptions!$B$19*Assumptions!$B$5+Assumptions!$B$19*A15)*Assumptions!$B$7</f>
        <v/>
      </c>
      <c r="F15" s="7">
        <f>Campuses!$H$14</f>
        <v/>
      </c>
      <c r="G15" s="7">
        <f>Campuses!$I$14</f>
        <v/>
      </c>
      <c r="H15" s="7">
        <f>C15-D15-F15-G15</f>
        <v/>
      </c>
      <c r="I15" s="7">
        <f>H15-Assumptions!$B$38</f>
        <v/>
      </c>
      <c r="J15" s="11">
        <f>H15/C15</f>
        <v/>
      </c>
    </row>
    <row r="16">
      <c r="A16" s="4" t="n">
        <v>4500</v>
      </c>
      <c r="B16" s="8">
        <f>Campuses!$D$14</f>
        <v/>
      </c>
      <c r="C16" s="7">
        <f>B16*A16*Assumptions!$B$7</f>
        <v/>
      </c>
      <c r="D16" s="7">
        <f>B16*(Assumptions!$B$21-Assumptions!$B$19*Assumptions!$B$5+Assumptions!$B$19*A16)*Assumptions!$B$7</f>
        <v/>
      </c>
      <c r="F16" s="7">
        <f>Campuses!$H$14</f>
        <v/>
      </c>
      <c r="G16" s="7">
        <f>Campuses!$I$14</f>
        <v/>
      </c>
      <c r="H16" s="7">
        <f>C16-D16-F16-G16</f>
        <v/>
      </c>
      <c r="I16" s="7">
        <f>H16-Assumptions!$B$38</f>
        <v/>
      </c>
      <c r="J16" s="11">
        <f>H16/C16</f>
        <v/>
      </c>
    </row>
    <row r="17">
      <c r="A17" s="4" t="n">
        <v>5000</v>
      </c>
      <c r="B17" s="8">
        <f>Campuses!$D$14</f>
        <v/>
      </c>
      <c r="C17" s="7">
        <f>B17*A17*Assumptions!$B$7</f>
        <v/>
      </c>
      <c r="D17" s="7">
        <f>B17*(Assumptions!$B$21-Assumptions!$B$19*Assumptions!$B$5+Assumptions!$B$19*A17)*Assumptions!$B$7</f>
        <v/>
      </c>
      <c r="F17" s="7">
        <f>Campuses!$H$14</f>
        <v/>
      </c>
      <c r="G17" s="7">
        <f>Campuses!$I$14</f>
        <v/>
      </c>
      <c r="H17" s="7">
        <f>C17-D17-F17-G17</f>
        <v/>
      </c>
      <c r="I17" s="7">
        <f>H17-Assumptions!$B$38</f>
        <v/>
      </c>
      <c r="J17" s="11">
        <f>H17/C17</f>
        <v/>
      </c>
    </row>
    <row r="18">
      <c r="A18" s="4" t="n">
        <v>5500</v>
      </c>
      <c r="B18" s="8">
        <f>Campuses!$D$14</f>
        <v/>
      </c>
      <c r="C18" s="7">
        <f>B18*A18*Assumptions!$B$7</f>
        <v/>
      </c>
      <c r="D18" s="7">
        <f>B18*(Assumptions!$B$21-Assumptions!$B$19*Assumptions!$B$5+Assumptions!$B$19*A18)*Assumptions!$B$7</f>
        <v/>
      </c>
      <c r="F18" s="7">
        <f>Campuses!$H$14</f>
        <v/>
      </c>
      <c r="G18" s="7">
        <f>Campuses!$I$14</f>
        <v/>
      </c>
      <c r="H18" s="7">
        <f>C18-D18-F18-G18</f>
        <v/>
      </c>
      <c r="I18" s="7">
        <f>H18-Assumptions!$B$38</f>
        <v/>
      </c>
      <c r="J18" s="11">
        <f>H18/C18</f>
        <v/>
      </c>
    </row>
    <row r="20">
      <c r="A20" t="inlineStr">
        <is>
          <t>Every $500 on the session price, at capacity</t>
        </is>
      </c>
      <c r="C20" s="7">
        <f>Campuses!$D$14*500*Assumptions!$B$7*(1-Assumptions!$B$19)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10" customWidth="1" min="3" max="3"/>
    <col width="20" customWidth="1" min="4" max="4"/>
    <col width="30" customWidth="1" min="5" max="5"/>
    <col width="62" customWidth="1" min="6" max="6"/>
  </cols>
  <sheetData>
    <row r="1">
      <c r="A1" s="1" t="inlineStr">
        <is>
          <t>Revenue by lane at expanded capacity</t>
        </is>
      </c>
    </row>
    <row r="2">
      <c r="A2" s="2" t="inlineStr">
        <is>
          <t>The plan is sized on Stay. Mix is an assumption Session 2 replaces.</t>
        </is>
      </c>
    </row>
    <row r="4">
      <c r="A4" s="9" t="inlineStr">
        <is>
          <t>Lane</t>
        </is>
      </c>
      <c r="B4" s="9" t="inlineStr">
        <is>
          <t>Share</t>
        </is>
      </c>
      <c r="C4" s="9" t="inlineStr">
        <is>
          <t>Families</t>
        </is>
      </c>
      <c r="D4" s="9" t="inlineStr">
        <is>
          <t>Session revenue / year</t>
        </is>
      </c>
      <c r="E4" s="9" t="inlineStr">
        <is>
          <t>Value beyond the session fee (modeled)</t>
        </is>
      </c>
      <c r="F4" s="9" t="inlineStr">
        <is>
          <t>Basis</t>
        </is>
      </c>
    </row>
    <row r="5">
      <c r="A5" t="inlineStr">
        <is>
          <t>Stay (the business)</t>
        </is>
      </c>
      <c r="B5" s="11">
        <f>Assumptions!$B$47</f>
        <v/>
      </c>
      <c r="C5" s="8">
        <f>ROUND(Campuses!$D$14*B5,0)</f>
        <v/>
      </c>
      <c r="D5" s="7">
        <f>C5*Assumptions!$B$5*Assumptions!$B$7</f>
        <v/>
      </c>
      <c r="E5" s="7">
        <f>C5*(Assumptions!$B$5*Assumptions!$B$7*1+Assumptions!$B$10*Assumptions!$B$7*2)</f>
        <v/>
      </c>
      <c r="F5" t="inlineStr">
        <is>
          <t>Three years: year one at list, years two and three at the continuation rate</t>
        </is>
      </c>
    </row>
    <row r="6">
      <c r="A6" t="inlineStr">
        <is>
          <t>Considering (upside)</t>
        </is>
      </c>
      <c r="B6" s="11">
        <f>Assumptions!$B$48</f>
        <v/>
      </c>
      <c r="C6" s="8">
        <f>ROUND(Campuses!$D$14*B6,0)</f>
        <v/>
      </c>
      <c r="D6" s="7">
        <f>C6*Assumptions!$B$5*Assumptions!$B$7</f>
        <v/>
      </c>
      <c r="E6" s="7">
        <f>C6*(Assumptions!$B$5*2+0.2*Assumptions!$B$51)</f>
        <v/>
      </c>
      <c r="F6" t="inlineStr">
        <is>
          <t>Two sessions plus a 20 percent conversion at the lifetime tuition midpoint</t>
        </is>
      </c>
    </row>
    <row r="7">
      <c r="A7" t="inlineStr">
        <is>
          <t>Path to yes (upside)</t>
        </is>
      </c>
      <c r="B7" s="11">
        <f>Assumptions!$B$49</f>
        <v/>
      </c>
      <c r="C7" s="8">
        <f>ROUND(Campuses!$D$14*B7,0)</f>
        <v/>
      </c>
      <c r="D7" s="7">
        <f>C7*Assumptions!$B$5*Assumptions!$B$7</f>
        <v/>
      </c>
      <c r="E7" s="7">
        <f>C7*(Assumptions!$B$5*3+0.2*Assumptions!$B$51)</f>
        <v/>
      </c>
      <c r="F7" t="inlineStr">
        <is>
          <t>Three sessions plus a 20 percent admit rate at the lifetime tuition midpoint</t>
        </is>
      </c>
    </row>
    <row r="8">
      <c r="A8" t="inlineStr">
        <is>
          <t>Current Alpha families</t>
        </is>
      </c>
      <c r="B8" s="11">
        <f>Assumptions!$B$50</f>
        <v/>
      </c>
      <c r="C8" s="8">
        <f>ROUND(Campuses!$D$14*B8,0)</f>
        <v/>
      </c>
      <c r="D8" s="7">
        <f>C8*Assumptions!$B$5*Assumptions!$B$7*(1-Assumptions!$B$9)</f>
        <v/>
      </c>
      <c r="E8" s="7" t="n"/>
      <c r="F8" t="inlineStr">
        <is>
          <t>Retention of a family already paying full tuition</t>
        </is>
      </c>
    </row>
    <row r="9">
      <c r="A9" s="12" t="inlineStr">
        <is>
          <t>Total</t>
        </is>
      </c>
      <c r="B9" s="11">
        <f>SUM(B5:B8)</f>
        <v/>
      </c>
      <c r="C9" s="8">
        <f>SUM(C5:C8)</f>
        <v/>
      </c>
      <c r="D9" s="7">
        <f>SUM(D5:D8)</f>
        <v/>
      </c>
    </row>
    <row r="11">
      <c r="A11" s="3" t="inlineStr">
        <is>
          <t>Feeder sensitivity (upside), expanded pilot base</t>
        </is>
      </c>
    </row>
    <row r="12">
      <c r="A12" s="9" t="inlineStr">
        <is>
          <t>Conversion rate</t>
        </is>
      </c>
      <c r="B12" s="9" t="inlineStr">
        <is>
          <t>Enrollments</t>
        </is>
      </c>
      <c r="C12" s="9" t="inlineStr">
        <is>
          <t>Lifetime tuition</t>
        </is>
      </c>
    </row>
    <row r="13">
      <c r="A13" s="6" t="n">
        <v>0.04</v>
      </c>
      <c r="B13" s="8">
        <f>ROUND(Campuses!$D$14*A13,0)</f>
        <v/>
      </c>
      <c r="C13" s="7">
        <f>B13*Assumptions!$B$51</f>
        <v/>
      </c>
    </row>
    <row r="14">
      <c r="A14" s="6" t="n">
        <v>0.08</v>
      </c>
      <c r="B14" s="8">
        <f>ROUND(Campuses!$D$14*A14,0)</f>
        <v/>
      </c>
      <c r="C14" s="7">
        <f>B14*Assumptions!$B$51</f>
        <v/>
      </c>
    </row>
    <row r="15">
      <c r="A15" s="6" t="n">
        <v>0.12</v>
      </c>
      <c r="B15" s="8">
        <f>ROUND(Campuses!$D$14*A15,0)</f>
        <v/>
      </c>
      <c r="C15" s="7">
        <f>B15*Assumptions!$B$51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60" customWidth="1" min="3" max="3"/>
    <col width="10" customWidth="1" min="4" max="4"/>
    <col width="12" customWidth="1" min="5" max="5"/>
    <col width="14" customWidth="1" min="6" max="6"/>
    <col width="16" customWidth="1" min="7" max="7"/>
    <col width="16" customWidth="1" min="8" max="8"/>
    <col width="20" customWidth="1" min="9" max="9"/>
  </cols>
  <sheetData>
    <row r="1">
      <c r="A1" s="1" t="inlineStr">
        <is>
          <t>The national build, capacity figures, K-8 blocks, premium price</t>
        </is>
      </c>
    </row>
    <row r="4">
      <c r="A4" s="9" t="inlineStr">
        <is>
          <t>Wave</t>
        </is>
      </c>
      <c r="B4" s="9" t="inlineStr">
        <is>
          <t>Session</t>
        </is>
      </c>
      <c r="C4" s="9" t="inlineStr">
        <is>
          <t>Campuses added</t>
        </is>
      </c>
      <c r="D4" s="9" t="inlineStr">
        <is>
          <t>Campuses (count)</t>
        </is>
      </c>
      <c r="E4" s="9" t="inlineStr">
        <is>
          <t>Seats added</t>
        </is>
      </c>
      <c r="F4" s="9" t="inlineStr">
        <is>
          <t>Enrolled added</t>
        </is>
      </c>
      <c r="G4" s="9" t="inlineStr">
        <is>
          <t>Run rate added</t>
        </is>
      </c>
      <c r="H4" s="9" t="inlineStr">
        <is>
          <t>Network run rate</t>
        </is>
      </c>
    </row>
    <row r="5">
      <c r="A5" t="inlineStr">
        <is>
          <t>Pilot</t>
        </is>
      </c>
      <c r="B5" t="inlineStr">
        <is>
          <t>Session 2, Oct 2026</t>
        </is>
      </c>
      <c r="C5" t="inlineStr">
        <is>
          <t>New York (2), Greenwich, Boston (2), Chicago</t>
        </is>
      </c>
      <c r="D5" s="8" t="n">
        <v>6</v>
      </c>
      <c r="E5" s="8">
        <f>Campuses!B13</f>
        <v/>
      </c>
      <c r="F5" s="8">
        <f>E5*Assumptions!$B$8</f>
        <v/>
      </c>
      <c r="G5" s="7">
        <f>F5*Assumptions!$B$5*Assumptions!$B$7</f>
        <v/>
      </c>
      <c r="H5" s="7">
        <f>SUM($G$5:G5)</f>
        <v/>
      </c>
    </row>
    <row r="6">
      <c r="A6" t="inlineStr">
        <is>
          <t>Wave 2</t>
        </is>
      </c>
      <c r="B6" t="inlineStr">
        <is>
          <t>Session 3, Jan 2027</t>
        </is>
      </c>
      <c r="C6" t="inlineStr">
        <is>
          <t>Chicago expansion (+423), Austin 300, Miami 150, Palm Beach 60, Miami Beach 50</t>
        </is>
      </c>
      <c r="D6" s="8" t="n">
        <v>4</v>
      </c>
      <c r="E6" s="8">
        <f>423+300+150+60+50</f>
        <v/>
      </c>
      <c r="F6" s="8">
        <f>E6*Assumptions!$B$8</f>
        <v/>
      </c>
      <c r="G6" s="7">
        <f>F6*Assumptions!$B$5*Assumptions!$B$7</f>
        <v/>
      </c>
      <c r="H6" s="7">
        <f>SUM($G$5:G6)</f>
        <v/>
      </c>
    </row>
    <row r="7">
      <c r="A7" t="inlineStr">
        <is>
          <t>Wave 3</t>
        </is>
      </c>
      <c r="B7" t="inlineStr">
        <is>
          <t>Session 4, Feb 2027</t>
        </is>
      </c>
      <c r="C7" t="inlineStr">
        <is>
          <t>Every remaining campus, about 30, at 50 seats each</t>
        </is>
      </c>
      <c r="D7" s="8" t="n">
        <v>30</v>
      </c>
      <c r="E7" s="8">
        <f>30*50</f>
        <v/>
      </c>
      <c r="F7" s="8">
        <f>E7*Assumptions!$B$8</f>
        <v/>
      </c>
      <c r="G7" s="7">
        <f>F7*Assumptions!$B$5*Assumptions!$B$7</f>
        <v/>
      </c>
      <c r="H7" s="7">
        <f>SUM($G$5:G7)</f>
        <v/>
      </c>
    </row>
    <row r="9">
      <c r="A9" s="3" t="inlineStr">
        <is>
          <t>Full network at capacity</t>
        </is>
      </c>
    </row>
    <row r="10">
      <c r="A10" t="inlineStr">
        <is>
          <t>Campuses</t>
        </is>
      </c>
      <c r="B10" s="8">
        <f>SUM(D5:D7)</f>
        <v/>
      </c>
    </row>
    <row r="11">
      <c r="A11" t="inlineStr">
        <is>
          <t>Seats</t>
        </is>
      </c>
      <c r="B11" s="8">
        <f>SUM(E5:E7)</f>
        <v/>
      </c>
    </row>
    <row r="12">
      <c r="A12" t="inlineStr">
        <is>
          <t>Enrolled</t>
        </is>
      </c>
      <c r="B12" s="8">
        <f>SUM(F5:F7)</f>
        <v/>
      </c>
    </row>
    <row r="13">
      <c r="A13" t="inlineStr">
        <is>
          <t>Revenue</t>
        </is>
      </c>
      <c r="B13" s="7">
        <f>B12*Assumptions!$B$5*Assumptions!$B$7</f>
        <v/>
      </c>
    </row>
    <row r="14">
      <c r="A14" t="inlineStr">
        <is>
          <t>Variable cost</t>
        </is>
      </c>
      <c r="B14" s="7">
        <f>-B12*Assumptions!$B$22</f>
        <v/>
      </c>
    </row>
    <row r="15">
      <c r="A15" t="inlineStr">
        <is>
          <t>Guide cost</t>
        </is>
      </c>
      <c r="B15" s="7">
        <f>-ROUNDUP(B11/Assumptions!$B$25,0)*Assumptions!$B$24</f>
        <v/>
      </c>
    </row>
    <row r="16">
      <c r="A16" t="inlineStr">
        <is>
          <t>Fixed cost</t>
        </is>
      </c>
      <c r="B16" s="7">
        <f>-B10*Assumptions!$B$33</f>
        <v/>
      </c>
    </row>
    <row r="17">
      <c r="A17" s="12" t="inlineStr">
        <is>
          <t>Site profit</t>
        </is>
      </c>
      <c r="B17" s="14">
        <f>B13+B14+B15+B16</f>
        <v/>
      </c>
    </row>
    <row r="18">
      <c r="A18" t="inlineStr">
        <is>
          <t>Margin</t>
        </is>
      </c>
      <c r="B18" s="11">
        <f>B17/B13</f>
        <v/>
      </c>
    </row>
    <row r="19">
      <c r="A19" t="inlineStr">
        <is>
          <t>Central team at full network</t>
        </is>
      </c>
      <c r="B19" s="7">
        <f>-Assumptions!$B$39</f>
        <v/>
      </c>
    </row>
    <row r="20">
      <c r="A20" s="12" t="inlineStr">
        <is>
          <t>Net</t>
        </is>
      </c>
      <c r="B20" s="14">
        <f>B17+B19</f>
        <v/>
      </c>
    </row>
    <row r="22">
      <c r="A22" s="3" t="inlineStr">
        <is>
          <t>Three-year view (network held at 40 campuses; evening block and break weeks as additions)</t>
        </is>
      </c>
    </row>
    <row r="23">
      <c r="A23" s="9" t="inlineStr">
        <is>
          <t>Year</t>
        </is>
      </c>
      <c r="B23" s="9" t="inlineStr">
        <is>
          <t>K-8 fill</t>
        </is>
      </c>
      <c r="C23" s="9" t="inlineStr">
        <is>
          <t>K-8 revenue</t>
        </is>
      </c>
      <c r="D23" s="9" t="inlineStr">
        <is>
          <t>Evening block share of its ceiling</t>
        </is>
      </c>
      <c r="E23" s="9" t="inlineStr">
        <is>
          <t>Evening block revenue</t>
        </is>
      </c>
      <c r="F23" s="9" t="inlineStr">
        <is>
          <t>Break weeks share</t>
        </is>
      </c>
      <c r="G23" s="9" t="inlineStr">
        <is>
          <t>Break week revenue (2 weeks)</t>
        </is>
      </c>
      <c r="H23" s="9" t="inlineStr">
        <is>
          <t>Total revenue</t>
        </is>
      </c>
      <c r="I23" s="9" t="inlineStr">
        <is>
          <t>Net (about, at network margin)</t>
        </is>
      </c>
    </row>
    <row r="24">
      <c r="A24" t="inlineStr">
        <is>
          <t>Year 2, SY27-28</t>
        </is>
      </c>
      <c r="B24" s="6" t="n">
        <v>0.75</v>
      </c>
      <c r="C24" s="7">
        <f>$B$13*B24</f>
        <v/>
      </c>
      <c r="D24" s="6" t="n">
        <v>0.4</v>
      </c>
      <c r="E24" s="7">
        <f>$B$13*0.5*D24</f>
        <v/>
      </c>
      <c r="F24" s="6" t="n">
        <v>0.6</v>
      </c>
      <c r="G24" s="7">
        <f>$B$11*2*Assumptions!$B$12*F24</f>
        <v/>
      </c>
      <c r="H24" s="7">
        <f>C24+E24+G24</f>
        <v/>
      </c>
      <c r="I24" s="7">
        <f>H24*$B$18-Assumptions!$B$39</f>
        <v/>
      </c>
    </row>
    <row r="25">
      <c r="A25" t="inlineStr">
        <is>
          <t>Year 3, SY28-29</t>
        </is>
      </c>
      <c r="B25" s="6" t="n">
        <v>0.9</v>
      </c>
      <c r="C25" s="7">
        <f>$B$13*B25</f>
        <v/>
      </c>
      <c r="D25" s="6" t="n">
        <v>0.7</v>
      </c>
      <c r="E25" s="7">
        <f>$B$13*0.5*D25</f>
        <v/>
      </c>
      <c r="F25" s="6" t="n">
        <v>0.8</v>
      </c>
      <c r="G25" s="7">
        <f>$B$11*2*Assumptions!$B$12*F25</f>
        <v/>
      </c>
      <c r="H25" s="7">
        <f>C25+E25+G25</f>
        <v/>
      </c>
      <c r="I25" s="7">
        <f>H25*$B$18-Assumptions!$B$39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64" customWidth="1" min="2" max="2"/>
    <col width="14" customWidth="1" min="3" max="3"/>
  </cols>
  <sheetData>
    <row r="1">
      <c r="A1" s="1" t="inlineStr">
        <is>
          <t>One-time launch budget, before Session 2</t>
        </is>
      </c>
    </row>
    <row r="4">
      <c r="A4" s="9" t="inlineStr">
        <is>
          <t>Item</t>
        </is>
      </c>
      <c r="B4" s="9" t="inlineStr">
        <is>
          <t>Basis</t>
        </is>
      </c>
      <c r="C4" s="9" t="inlineStr">
        <is>
          <t>Cost</t>
        </is>
      </c>
    </row>
    <row r="5">
      <c r="A5" t="inlineStr">
        <is>
          <t>Guide training cohort</t>
        </is>
      </c>
      <c r="B5" t="inlineStr">
        <is>
          <t>45 guides and 6 Lead Guides, two paid weeks at the part-time rate</t>
        </is>
      </c>
      <c r="C5" s="7">
        <f>(Campuses!G13+6)*Assumptions!$B$24/52*2</f>
        <v/>
      </c>
    </row>
    <row r="6">
      <c r="A6" t="inlineStr">
        <is>
          <t>State exemption filings and legal</t>
        </is>
      </c>
      <c r="B6" t="inlineStr">
        <is>
          <t>New York, Connecticut, Massachusetts, Illinois</t>
        </is>
      </c>
      <c r="C6" s="4" t="n">
        <v>60000</v>
      </c>
    </row>
    <row r="7">
      <c r="A7" t="inlineStr">
        <is>
          <t>Launch marketing</t>
        </is>
      </c>
      <c r="B7" t="inlineStr">
        <is>
          <t>$40K per market, four markets</t>
        </is>
      </c>
      <c r="C7" s="4" t="n">
        <v>160000</v>
      </c>
    </row>
    <row r="8">
      <c r="A8" t="inlineStr">
        <is>
          <t>Loaner device pool</t>
        </is>
      </c>
      <c r="B8" t="inlineStr">
        <is>
          <t>20 percent of launch seats at $600</t>
        </is>
      </c>
      <c r="C8" s="7">
        <f>Campuses!B13*0.2*600</f>
        <v/>
      </c>
    </row>
    <row r="9">
      <c r="A9" t="inlineStr">
        <is>
          <t>Insurance deposits</t>
        </is>
      </c>
      <c r="B9" t="inlineStr">
        <is>
          <t>Six sites</t>
        </is>
      </c>
      <c r="C9" s="4" t="n">
        <v>24000</v>
      </c>
    </row>
    <row r="10">
      <c r="A10" t="inlineStr">
        <is>
          <t>Emporium opening inventory</t>
        </is>
      </c>
      <c r="B10" t="inlineStr">
        <is>
          <t>$25 a seat</t>
        </is>
      </c>
      <c r="C10" s="7">
        <f>Campuses!B13*25</f>
        <v/>
      </c>
    </row>
    <row r="11">
      <c r="A11" t="inlineStr">
        <is>
          <t>Registration and payments stack</t>
        </is>
      </c>
      <c r="B11" t="inlineStr">
        <is>
          <t>Stripe, HubSpot, roster tooling</t>
        </is>
      </c>
      <c r="C11" s="4" t="n">
        <v>30000</v>
      </c>
    </row>
    <row r="12">
      <c r="A12" s="12" t="inlineStr">
        <is>
          <t>Total</t>
        </is>
      </c>
      <c r="C12" s="14">
        <f>SUM(C5:C11)</f>
        <v/>
      </c>
    </row>
    <row r="14">
      <c r="A14" t="inlineStr">
        <is>
          <t>Session 2 deposits on plan enrollment</t>
        </is>
      </c>
      <c r="C14" s="7">
        <f>'Year 1'!E6*Assumptions!$B$11</f>
        <v/>
      </c>
    </row>
    <row r="15">
      <c r="A15" t="inlineStr">
        <is>
          <t>Deposits cover the launch budget</t>
        </is>
      </c>
      <c r="C15">
        <f>IF(C14&gt;=C12,"Yes","No")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2026-08-27T17:46:46Z</dcterms:created>
  <dcterms:modified xmlns:dcterms="http://purl.org/dc/terms/" xmlns:xsi="http://www.w3.org/2001/XMLSchema-instance" xsi:type="dcterms:W3CDTF">2026-08-27T17:46:46Z</dcterms:modified>
</cp:coreProperties>
</file>